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f50e77bafe46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평가기준" sheetId="1" r:id="Rdb4da9c9878d49bf"/>
    <x:sheet xmlns:r="http://schemas.openxmlformats.org/officeDocument/2006/relationships" name="원시결과" sheetId="2" r:id="R5dc3ad077ae24a42"/>
    <x:sheet xmlns:r="http://schemas.openxmlformats.org/officeDocument/2006/relationships" name="분석결과" sheetId="3" r:id="R7b6f902279db457f"/>
    <x:sheet xmlns:r="http://schemas.openxmlformats.org/officeDocument/2006/relationships" name="실패·제외" sheetId="4" r:id="R10801d1bd09147e3"/>
    <x:sheet xmlns:r="http://schemas.openxmlformats.org/officeDocument/2006/relationships" name="클래스별 정확도" sheetId="5" r:id="R682a8e34b63d453d"/>
    <x:sheet xmlns:r="http://schemas.openxmlformats.org/officeDocument/2006/relationships" name="반복측정" sheetId="6" r:id="Rcd0394ae6d9a4b7f"/>
    <x:sheet xmlns:r="http://schemas.openxmlformats.org/officeDocument/2006/relationships" name="실험환경" sheetId="7" r:id="R644ef7175aae4531"/>
    <x:sheet xmlns:r="http://schemas.openxmlformats.org/officeDocument/2006/relationships" name="_차트데이터" sheetId="8" r:id="R3b9e5f58bee3440b"/>
    <x:sheet xmlns:r="http://schemas.openxmlformats.org/officeDocument/2006/relationships" name="요약" sheetId="9" r:id="R6ed7f682b1ee4fc6"/>
  </x:sheets>
</x:workbook>
</file>

<file path=xl/sharedStrings.xml><?xml version="1.0" encoding="utf-8"?>
<x:sst xmlns:x="http://schemas.openxmlformats.org/spreadsheetml/2006/main">
  <x:si>
    <x:t xml:space="preserve">항목</x:t>
  </x:si>
  <x:si>
    <x:t xml:space="preserve">고정값</x:t>
  </x:si>
  <x:si>
    <x:t xml:space="preserve">해석·재현 규칙</x:t>
  </x:si>
  <x:si>
    <x:t xml:space="preserve">평가 데이터</x:t>
  </x:si>
  <x:si>
    <x:t xml:space="preserve">data/training/front_session_split_v1/test</x:t>
  </x:si>
  <x:si>
    <x:t xml:space="preserve">누수 방지 후 고정한 test split만 정확도 평가에 사용</x:t>
  </x:si>
  <x:si>
    <x:t xml:space="preserve">평가 이미지 수</x:t>
  </x:si>
  <x:si>
    <x:t xml:space="preserve">모든 성공 후보에서 반드시 동일</x:t>
  </x:si>
  <x:si>
    <x:t xml:space="preserve">COCO AP confidence 최소값</x:t>
  </x:si>
  <x:si>
    <x:t xml:space="preserve">점수 곡선을 보존하기 위한 낮은 수집 threshold</x:t>
  </x:si>
  <x:si>
    <x:t xml:space="preserve">Semantic mIoU threshold</x:t>
  </x:si>
  <x:si>
    <x:t xml:space="preserve">배포 운용점에서 클래스별 instance mask를 합집합</x:t>
  </x:si>
  <x:si>
    <x:t xml:space="preserve">지연시간 표본 이미지</x:t>
  </x:si>
  <x:si>
    <x:t xml:space="preserve">seed 42로 선택된 동일 이미지 집합</x:t>
  </x:si>
  <x:si>
    <x:t xml:space="preserve">Warm-up / 반복당 측정</x:t>
  </x:si>
  <x:si>
    <x:t xml:space="preserve">20 / 200</x:t>
  </x:si>
  <x:si>
    <x:t xml:space="preserve">GPU 동기화 전후를 포함한 end-to-end in-memory 측정</x:t>
  </x:si>
  <x:si>
    <x:t xml:space="preserve">Benchmark 반복 횟수</x:t>
  </x:si>
  <x:si>
    <x:t xml:space="preserve">반복별 warm-up 후 통계를 재측정</x:t>
  </x:si>
  <x:si>
    <x:t xml:space="preserve">반복 median CV 경고선</x:t>
  </x:si>
  <x:si>
    <x:t xml:space="preserve">초과 시 제외하지 않고 재측정 필요 경고</x:t>
  </x:si>
  <x:si>
    <x:t xml:space="preserve">BBox AP 허용 하락</x:t>
  </x:si>
  <x:si>
    <x:t xml:space="preserve">B01 TensorRT 재측정값 대비 절대 하락 한계</x:t>
  </x:si>
  <x:si>
    <x:t xml:space="preserve">Mask AP 허용 하락</x:t>
  </x:si>
  <x:si>
    <x:t xml:space="preserve">Semantic mIoU 허용 하락</x:t>
  </x:si>
  <x:si>
    <x:t xml:space="preserve">실시간 목표 FPS</x:t>
  </x:si>
  <x:si>
    <x:t xml:space="preserve">최종 배포 후보 표시 기준</x:t>
  </x:si>
  <x:si>
    <x:t xml:space="preserve">Median latency 예산(ms)</x:t>
  </x:si>
  <x:si>
    <x:t xml:space="preserve">30 FPS frame period에 해당</x:t>
  </x:si>
  <x:si>
    <x:t xml:space="preserve">P95 latency 정책</x:t>
  </x:si>
  <x:si>
    <x:t xml:space="preserve">보조지표·경고 전용</x:t>
  </x:si>
  <x:si>
    <x:t xml:space="preserve">33.33 ms 초과 시 경고하되 배포·Pareto hard gate에는 사용하지 않음</x:t>
  </x:si>
  <x:si>
    <x:t xml:space="preserve">CV 5% 초과 처리</x:t>
  </x:si>
  <x:si>
    <x:t xml:space="preserve">지연시간 3회 전체 재측정 최대 1회</x:t>
  </x:si>
  <x:si>
    <x:t xml:space="preserve">두 번째 3회를 공식값으로 사용; 여전히 초과하면 최종 권장에서 제외</x:t>
  </x:si>
  <x:si>
    <x:t xml:space="preserve">Pareto 최대화</x:t>
  </x:si>
  <x:si>
    <x:t xml:space="preserve">Mask AP</x:t>
  </x:si>
  <x:si>
    <x:t xml:space="preserve">정확도 3종 보존 gate와 측정 유효성 통과 후 적용</x:t>
  </x:si>
  <x:si>
    <x:t xml:space="preserve">Pareto 최소화</x:t>
  </x:si>
  <x:si>
    <x:t xml:space="preserve">Median latency, engine size</x:t>
  </x:si>
  <x:si>
    <x:t xml:space="preserve">BBox AP, mIoU, P95, GPU memory는 보조지표</x:t>
  </x:si>
  <x:si>
    <x:t xml:space="preserve">보고 지표 정의</x:t>
  </x:si>
  <x:si>
    <x:t xml:space="preserve">지표</x:t>
  </x:si>
  <x:si>
    <x:t xml:space="preserve">정의</x:t>
  </x:si>
  <x:si>
    <x:t xml:space="preserve">BBox/Mask AP</x:t>
  </x:si>
  <x:si>
    <x:t xml:space="preserve">COCO AP@[IoU=.50:.05:.95], maxDets=100</x:t>
  </x:si>
  <x:si>
    <x:t xml:space="preserve">AP50 / AP75</x:t>
  </x:si>
  <x:si>
    <x:t xml:space="preserve">완화/엄격 IoU 조건의 위치·경계 품질</x:t>
  </x:si>
  <x:si>
    <x:t xml:space="preserve">AP small/medium/large</x:t>
  </x:si>
  <x:si>
    <x:t xml:space="preserve">객체 면적별 성능 편향 점검</x:t>
  </x:si>
  <x:si>
    <x:t xml:space="preserve">AR100</x:t>
  </x:si>
  <x:si>
    <x:t xml:space="preserve">이미지당 최대 100개 예측에서 평균 재현율</x:t>
  </x:si>
  <x:si>
    <x:t xml:space="preserve">Semantic mIoU</x:t>
  </x:si>
  <x:si>
    <x:t xml:space="preserve">클래스별 dataset intersection/union의 macro mean</x:t>
  </x:si>
  <x:si>
    <x:t xml:space="preserve">Median/P95/P99</x:t>
  </x:si>
  <x:si>
    <x:t xml:space="preserve">일반·tail latency를 함께 보고</x:t>
  </x:si>
  <x:si>
    <x:t xml:space="preserve">반복 median 95% CI</x:t>
  </x:si>
  <x:si>
    <x:t xml:space="preserve">3회 반복 median 평균의 t 구간</x:t>
  </x:si>
  <x:si>
    <x:t xml:space="preserve">GPU memory</x:t>
  </x:si>
  <x:si>
    <x:t xml:space="preserve">3회 측정 중 max allocated/reserved</x:t>
  </x:si>
  <x:si>
    <x:t xml:space="preserve">ID</x:t>
  </x:si>
  <x:si>
    <x:t xml:space="preserve">경량화 계열</x:t>
  </x:si>
  <x:si>
    <x:t xml:space="preserve">방식</x:t>
  </x:si>
  <x:si>
    <x:t xml:space="preserve">정밀도</x:t>
  </x:si>
  <x:si>
    <x:t xml:space="preserve">입력크기</x:t>
  </x:si>
  <x:si>
    <x:t xml:space="preserve">1차 판정</x:t>
  </x:si>
  <x:si>
    <x:t xml:space="preserve">1차 불통 사유</x:t>
  </x:si>
  <x:si>
    <x:t xml:space="preserve">2차 상태</x:t>
  </x:si>
  <x:si>
    <x:t xml:space="preserve">2차 실패 사유</x:t>
  </x:si>
  <x:si>
    <x:t xml:space="preserve">BBox AP</x:t>
  </x:si>
  <x:si>
    <x:t xml:space="preserve">BBox AP50</x:t>
  </x:si>
  <x:si>
    <x:t xml:space="preserve">BBox AP75</x:t>
  </x:si>
  <x:si>
    <x:t xml:space="preserve">BBox AP-small</x:t>
  </x:si>
  <x:si>
    <x:t xml:space="preserve">BBox AP-medium</x:t>
  </x:si>
  <x:si>
    <x:t xml:space="preserve">BBox AP-large</x:t>
  </x:si>
  <x:si>
    <x:t xml:space="preserve">BBox AR100</x:t>
  </x:si>
  <x:si>
    <x:t xml:space="preserve">Mask AP50</x:t>
  </x:si>
  <x:si>
    <x:t xml:space="preserve">Mask AP75</x:t>
  </x:si>
  <x:si>
    <x:t xml:space="preserve">Mask AP-small</x:t>
  </x:si>
  <x:si>
    <x:t xml:space="preserve">Mask AP-medium</x:t>
  </x:si>
  <x:si>
    <x:t xml:space="preserve">Mask AP-large</x:t>
  </x:si>
  <x:si>
    <x:t xml:space="preserve">Mask AR100</x:t>
  </x:si>
  <x:si>
    <x:t xml:space="preserve">Mean ms</x:t>
  </x:si>
  <x:si>
    <x:t xml:space="preserve">Median ms</x:t>
  </x:si>
  <x:si>
    <x:t xml:space="preserve">P95 ms</x:t>
  </x:si>
  <x:si>
    <x:t xml:space="preserve">P99 ms</x:t>
  </x:si>
  <x:si>
    <x:t xml:space="preserve">IQR ms</x:t>
  </x:si>
  <x:si>
    <x:t xml:space="preserve">전체 CV</x:t>
  </x:si>
  <x:si>
    <x:t xml:space="preserve">반복 Median CV</x:t>
  </x:si>
  <x:si>
    <x:t xml:space="preserve">반복 Median CI95 하한</x:t>
  </x:si>
  <x:si>
    <x:t xml:space="preserve">반복 Median CI95 상한</x:t>
  </x:si>
  <x:si>
    <x:t xml:space="preserve">FPS</x:t>
  </x:si>
  <x:si>
    <x:t xml:space="preserve">GPU allocated bytes</x:t>
  </x:si>
  <x:si>
    <x:t xml:space="preserve">GPU reserved bytes</x:t>
  </x:si>
  <x:si>
    <x:t xml:space="preserve">Engine bytes</x:t>
  </x:si>
  <x:si>
    <x:t xml:space="preserve">측정 반복 수</x:t>
  </x:si>
  <x:si>
    <x:t xml:space="preserve">총 latency 횟수</x:t>
  </x:si>
  <x:si>
    <x:t xml:space="preserve">Engine 경로</x:t>
  </x:si>
  <x:si>
    <x:t xml:space="preserve">평가 JSON</x:t>
  </x:si>
  <x:si>
    <x:t xml:space="preserve">Benchmark JSON 목록</x:t>
  </x:si>
  <x:si>
    <x:t xml:space="preserve">Test 이미지 수</x:t>
  </x:si>
  <x:si>
    <x:t xml:space="preserve">예측 수</x:t>
  </x:si>
  <x:si>
    <x:t xml:space="preserve">Engine SHA256</x:t>
  </x:si>
  <x:si>
    <x:t xml:space="preserve">Annotation SHA256</x:t>
  </x:si>
  <x:si>
    <x:t xml:space="preserve">전체 Benchmark JSON 목록</x:t>
  </x:si>
  <x:si>
    <x:t xml:space="preserve">CV 재측정 수행</x:t>
  </x:si>
  <x:si>
    <x:t xml:space="preserve">CV 재측정 횟수</x:t>
  </x:si>
  <x:si>
    <x:t xml:space="preserve">CV 불안정 미해결</x:t>
  </x:si>
  <x:si>
    <x:t xml:space="preserve">Latency 측정 라운드</x:t>
  </x:si>
  <x:si>
    <x:t xml:space="preserve">B01</x:t>
  </x:si>
  <x:si>
    <x:t xml:space="preserve">baseline</x:t>
  </x:si>
  <x:si>
    <x:t xml:space="preserve">none</x:t>
  </x:si>
  <x:si>
    <x:t xml:space="preserve">fp32</x:t>
  </x:si>
  <x:si>
    <x:t xml:space="preserve">1x3x504x504</x:t>
  </x:si>
  <x:si>
    <x:t xml:space="preserve">통과</x:t>
  </x:si>
  <x:si>
    <x:t xml:space="preserve">완료</x:t>
  </x:si>
  <x:si>
    <x:t xml:space="preserve">artifacts/experiments/B01/front/model.engine</x:t>
  </x:si>
  <x:si>
    <x:t xml:space="preserve">results/coco-evaluation/B01-front.json</x:t>
  </x:si>
  <x:si>
    <x:t xml:space="preserve">["results/benchmarks/notebook-controlled/20260904_104755/B01/repeat-01/front_tensorrt_fp32_20260904_104843.json", "results/benchmarks/notebook-controlled/20260904_104755/B01/repeat-02/front_tensorrt_fp32_20260904_104901.json", "results/benchmarks/notebook-controlled/20260904_104755/B01/repeat-03/front_tensorrt_fp32_20260904_104919.json"]</x:t>
  </x:si>
  <x:si>
    <x:t xml:space="preserve">b7800a7c51d9163f3b88030919f15231ff1b262cad9feac52bbd09081684ef6d</x:t>
  </x:si>
  <x:si>
    <x:t xml:space="preserve">037949731e462ecb42feb6e61b61fbca555dfe2a3d381464ad36a17b0a7ff9b9</x:t>
  </x:si>
  <x:si>
    <x:t xml:space="preserve">[{"round": 1, "benchmarks": ["results/benchmarks/notebook-controlled/20260904_104755/B01/repeat-01/front_tensorrt_fp32_20260904_104843.json", "results/benchmarks/notebook-controlled/20260904_104755/B01/repeat-02/front_tensorrt_fp32_20260904_104901.json", "results/benchmarks/notebook-controlled/20260904_104755/B01/repeat-03/front_tensorrt_fp32_20260904_104919.json"], "aggregate": {"benchmark_repetitions": 3, "measured_runs_per_repetition": 200, "total_measured_runs": 600, "replicate_median_ms": [45.865366999350954, 45.774185498885345, 45.76235649801674], "replicate_mean_ms": [46.034489404446504, 45.990707429627946, 46.04127945516666], "replicate_median_mean_ms": 45.800636332084345, "replicate_median_std_ms": 0.05636954655638497, "replicate_median_cv": 0.0012307590258718059, "replicate_median_ci95_low_ms": 45.66059531378848, "replicate_median_ci95_high_ms": 45.94067735038021, "mean_ms": 46.02215876308037, "median_ms": 45.82025699710357, "standard_deviation_ms": 1.2844751555142258, "coefficient_of_variation": 0.027909928391813076, "min_ms": 43.22496500390116, "max_ms": 49.91654799960088, "p05_ms": 44.25489459936216, "p25_ms": 45.08433199953288, "p75_ms": 46.6919632472127, "p95_ms": 48.56151670392137, "p99_ms": 49.34060668594611, "iqr_ms": 1.6076312476798194, "fps": 21.728663471610425, "gpu_peak_allocated_bytes": 941561856, "gpu_peak_reserved_bytes": 1000341504}, "official": true}]</x:t>
  </x:si>
  <x:si>
    <x:t xml:space="preserve">B02</x:t>
  </x:si>
  <x:si>
    <x:t xml:space="preserve">precision</x:t>
  </x:si>
  <x:si>
    <x:t xml:space="preserve">tensorrt-fp16</x:t>
  </x:si>
  <x:si>
    <x:t xml:space="preserve">fp16</x:t>
  </x:si>
  <x:si>
    <x:t xml:space="preserve">artifacts/experiments/B02/front/model.engine</x:t>
  </x:si>
  <x:si>
    <x:t xml:space="preserve">results/coco-evaluation/B02-front.json</x:t>
  </x:si>
  <x:si>
    <x:t xml:space="preserve">["results/benchmarks/notebook-controlled/20260904_104755/B02/repeat-01/front_tensorrt_fp16_20260904_104933.json", "results/benchmarks/notebook-controlled/20260904_104755/B02/repeat-02/front_tensorrt_fp16_20260904_104947.json", "results/benchmarks/notebook-controlled/20260904_104755/B02/repeat-03/front_tensorrt_fp16_20260904_105001.json"]</x:t>
  </x:si>
  <x:si>
    <x:t xml:space="preserve">eedabbb239942a30399e9f1b59b0f8a0c9d76097de80e4efd466535a9b879185</x:t>
  </x:si>
  <x:si>
    <x:t xml:space="preserve">[{"round": 1, "benchmarks": ["results/benchmarks/notebook-controlled/20260904_104755/B02/repeat-01/front_tensorrt_fp16_20260904_104933.json", "results/benchmarks/notebook-controlled/20260904_104755/B02/repeat-02/front_tensorrt_fp16_20260904_104947.json", "results/benchmarks/notebook-controlled/20260904_104755/B02/repeat-03/front_tensorrt_fp16_20260904_105001.json"], "aggregate": {"benchmark_repetitions": 3, "measured_runs_per_repetition": 200, "total_measured_runs": 600, "replicate_median_ms": [25.510872499580728, 26.78608849964803, 25.4791785046109], "replicate_mean_ms": [25.691386710132065, 26.664797089761123, 25.7630138402601], "replicate_median_mean_ms": 25.92537983461322, "replicate_median_std_ms": 0.7455640025368662, "replicate_median_cv": 0.028758074415614024, "replicate_median_ci95_low_ms": 24.073146696360688, "replicate_median_ci95_high_ms": 27.777612972865754, "mean_ms": 26.03973254671776, "median_ms": 25.775210498977685, "standard_deviation_ms": 1.3337748089065833, "coefficient_of_variation": 0.05122075683817659, "min_ms": 23.657678997551557, "max_ms": 38.57225999672664, "p05_ms": 24.354618451252463, "p25_ms": 25.116360249739955, "p75_ms": 26.930151745546027, "p95_ms": 28.130155548933544, "p99_ms": 29.321301157033297, "iqr_ms": 1.813791495806072, "fps": 38.40285218774443, "gpu_peak_allocated_bytes": 941561856, "gpu_peak_reserved_bytes": 1000341504}, "official": true}]</x:t>
  </x:si>
  <x:si>
    <x:t xml:space="preserve">B03</x:t>
  </x:si>
  <x:si>
    <x:t xml:space="preserve">tensorrt-int8-ptq</x:t>
  </x:si>
  <x:si>
    <x:t xml:space="preserve">int8</x:t>
  </x:si>
  <x:si>
    <x:t xml:space="preserve">artifacts/experiments/B03/front/model.engine</x:t>
  </x:si>
  <x:si>
    <x:t xml:space="preserve">results/coco-evaluation/B03-front.json</x:t>
  </x:si>
  <x:si>
    <x:t xml:space="preserve">["results/benchmarks/notebook-controlled/20260904_104755/B03/repeat-01/front_tensorrt_int8_20260904_105014.json", "results/benchmarks/notebook-controlled/20260904_104755/B03/repeat-02/front_tensorrt_int8_20260904_105028.json", "results/benchmarks/notebook-controlled/20260904_104755/B03/repeat-03/front_tensorrt_int8_20260904_105042.json"]</x:t>
  </x:si>
  <x:si>
    <x:t xml:space="preserve">29efb304dc17c96d4a8b281be1a71eb5e1cf743fb8a87e30aaebe8e6b17d97cf</x:t>
  </x:si>
  <x:si>
    <x:t xml:space="preserve">[{"round": 1, "benchmarks": ["results/benchmarks/notebook-controlled/20260904_104755/B03/repeat-01/front_tensorrt_int8_20260904_105014.json", "results/benchmarks/notebook-controlled/20260904_104755/B03/repeat-02/front_tensorrt_int8_20260904_105028.json", "results/benchmarks/notebook-controlled/20260904_104755/B03/repeat-03/front_tensorrt_int8_20260904_105042.json"], "aggregate": {"benchmark_repetitions": 3, "measured_runs_per_repetition": 200, "total_measured_runs": 600, "replicate_median_ms": [25.11864050029544, 26.1370039988833, 25.15864749875618], "replicate_mean_ms": [25.29866738466808, 26.305342669875245, 25.483774735002953], "replicate_median_mean_ms": 25.471430665978307, "replicate_median_std_ms": 0.5767504105652246, "replicate_median_cv": 0.02264303164311767, "replicate_median_ci95_low_ms": 24.038587584345166, "replicate_median_ci95_high_ms": 26.904273747611448, "mean_ms": 25.695928263182093, "median_ms": 25.360001498484053, "standard_deviation_ms": 1.2291048288609272, "coefficient_of_variation": 0.04783266890661529, "min_ms": 23.745894999592565, "max_ms": 31.56493799906457, "p05_ms": 24.230169856309658, "p25_ms": 24.793393997242674, "p75_ms": 26.461358998858486, "p95_ms": 27.903415251421393, "p99_ms": 29.424016557095452, "iqr_ms": 1.667965001615812, "fps": 38.91667153479839, "gpu_peak_allocated_bytes": 941561856, "gpu_peak_reserved_bytes": 1000341504}, "official": true}]</x:t>
  </x:si>
  <x:si>
    <x:t xml:space="preserve">U01</x:t>
  </x:si>
  <x:si>
    <x:t xml:space="preserve">unstructured</x:t>
  </x:si>
  <x:si>
    <x:t xml:space="preserve">global-magnitude</x:t>
  </x:si>
  <x:si>
    <x:t xml:space="preserve">불통</x:t>
  </x:si>
  <x:si>
    <x:t xml:space="preserve">ONNX 크기·node·dense MACs 중 어느 항목도 사전 고정 5% 감소 기준을 충족하지 못함</x:t>
  </x:si>
  <x:si>
    <x:t xml:space="preserve">U02</x:t>
  </x:si>
  <x:si>
    <x:t xml:space="preserve">U03</x:t>
  </x:si>
  <x:si>
    <x:t xml:space="preserve">M01</x:t>
  </x:si>
  <x:si>
    <x:t xml:space="preserve">semi-structured</x:t>
  </x:si>
  <x:si>
    <x:t xml:space="preserve">nvidia-2to4</x:t>
  </x:si>
  <x:si>
    <x:t xml:space="preserve">artifacts/experiments/M01/front/model.engine</x:t>
  </x:si>
  <x:si>
    <x:t xml:space="preserve">results/coco-evaluation/M01-front.json</x:t>
  </x:si>
  <x:si>
    <x:t xml:space="preserve">["results/benchmarks/notebook-controlled/20260904_104755/M01/repeat-01/front_tensorrt_fp16_20260904_105056.json", "results/benchmarks/notebook-controlled/20260904_104755/M01/repeat-02/front_tensorrt_fp16_20260904_105110.json", "results/benchmarks/notebook-controlled/20260904_104755/M01/repeat-03/front_tensorrt_fp16_20260904_105123.json"]</x:t>
  </x:si>
  <x:si>
    <x:t xml:space="preserve">34429486ea34f461cebfd4ed7b2e2df537160c9326589d120e74a962ac39efb7</x:t>
  </x:si>
  <x:si>
    <x:t xml:space="preserve">[{"round": 1, "benchmarks": ["results/benchmarks/notebook-controlled/20260904_104755/M01/repeat-01/front_tensorrt_fp16_20260904_105056.json", "results/benchmarks/notebook-controlled/20260904_104755/M01/repeat-02/front_tensorrt_fp16_20260904_105110.json", "results/benchmarks/notebook-controlled/20260904_104755/M01/repeat-03/front_tensorrt_fp16_20260904_105123.json"], "aggregate": {"benchmark_repetitions": 3, "measured_runs_per_repetition": 200, "total_measured_runs": 600, "replicate_median_ms": [25.371922998601804, 25.168909996864386, 25.653619501099456], "replicate_mean_ms": [25.636607845262915, 25.308891300082905, 25.970511509622156], "replicate_median_mean_ms": 25.39815083218855, "replicate_median_std_ms": 0.2434168242232701, "replicate_median_cv": 0.009584037272303062, "replicate_median_ci95_low_ms": 24.793421115222046, "replicate_median_ci95_high_ms": 26.00288054915505, "mean_ms": 25.63867021832266, "median_ms": 25.386515499121742, "standard_deviation_ms": 1.0178099691553661, "coefficient_of_variation": 0.03969823553594402, "min_ms": 23.64266099903034, "max_ms": 29.305033000127878, "p05_ms": 24.33986774922232, "p25_ms": 24.924465749791125, "p75_ms": 26.20415775163565, "p95_ms": 27.630041898737545, "p99_ms": 28.270790903407033, "iqr_ms": 1.2796920018445235, "fps": 39.00358292706424, "gpu_peak_allocated_bytes": 941561856, "gpu_peak_reserved_bytes": 1000341504}, "official": true}]</x:t>
  </x:si>
  <x:si>
    <x:t xml:space="preserve">M02</x:t>
  </x:si>
  <x:si>
    <x:t xml:space="preserve">artifacts/experiments/M02/front/model.engine</x:t>
  </x:si>
  <x:si>
    <x:t xml:space="preserve">results/coco-evaluation/M02-front.json</x:t>
  </x:si>
  <x:si>
    <x:t xml:space="preserve">["results/benchmarks/notebook-controlled/20260904_104755/M02/repeat-01/front_tensorrt_fp16_20260904_105137.json", "results/benchmarks/notebook-controlled/20260904_104755/M02/repeat-02/front_tensorrt_fp16_20260904_105151.json", "results/benchmarks/notebook-controlled/20260904_104755/M02/repeat-03/front_tensorrt_fp16_20260904_105205.json"]</x:t>
  </x:si>
  <x:si>
    <x:t xml:space="preserve">808767d244919a7d37ca5e2509f2480b945e36ea5e8b44fb6f61c2871fc0d5c2</x:t>
  </x:si>
  <x:si>
    <x:t xml:space="preserve">[{"round": 1, "benchmarks": ["results/benchmarks/notebook-controlled/20260904_104755/M02/repeat-01/front_tensorrt_fp16_20260904_105137.json", "results/benchmarks/notebook-controlled/20260904_104755/M02/repeat-02/front_tensorrt_fp16_20260904_105151.json", "results/benchmarks/notebook-controlled/20260904_104755/M02/repeat-03/front_tensorrt_fp16_20260904_105205.json"], "aggregate": {"benchmark_repetitions": 3, "measured_runs_per_repetition": 200, "total_measured_runs": 600, "replicate_median_ms": [25.14567700200132, 25.21012199940742, 25.422765498660738], "replicate_mean_ms": [25.743770000008226, 25.47602516027837, 25.662433544785017], "replicate_median_mean_ms": 25.25952150002316, "replicate_median_std_ms": 0.14499910944918673, "replicate_median_cv": 0.005740374355430834, "replicate_median_ci95_low_ms": 24.89929467224574, "replicate_median_ci95_high_ms": 25.619748327800576, "mean_ms": 25.627409568357205, "median_ms": 25.26247049900121, "standard_deviation_ms": 1.5887532945822038, "coefficient_of_variation": 0.061994299125100676, "min_ms": 23.210936000396032, "max_ms": 40.46235499845352, "p05_ms": 23.92078685297747, "p25_ms": 24.66518025175901, "p75_ms": 26.367215750724426, "p95_ms": 28.145969146498825, "p99_ms": 29.207884659335832, "iqr_ms": 1.7020354989654152, "fps": 39.020721049962255, "gpu_peak_allocated_bytes": 941561856, "gpu_peak_reserved_bytes": 1000341504}, "official": true}]</x:t>
  </x:si>
  <x:si>
    <x:t xml:space="preserve">S01</x:t>
  </x:si>
  <x:si>
    <x:t xml:space="preserve">structured</x:t>
  </x:si>
  <x:si>
    <x:t xml:space="preserve">decoder-layer</x:t>
  </x:si>
  <x:si>
    <x:t xml:space="preserve">artifacts/experiments/S01/front/model.engine</x:t>
  </x:si>
  <x:si>
    <x:t xml:space="preserve">results/coco-evaluation/S01-front.json</x:t>
  </x:si>
  <x:si>
    <x:t xml:space="preserve">["results/benchmarks/notebook-controlled/20260904_104755/S01/repeat-01/front_tensorrt_fp32_20260904_105223.json", "results/benchmarks/notebook-controlled/20260904_104755/S01/repeat-02/front_tensorrt_fp32_20260904_105241.json", "results/benchmarks/notebook-controlled/20260904_104755/S01/repeat-03/front_tensorrt_fp32_20260904_105259.json"]</x:t>
  </x:si>
  <x:si>
    <x:t xml:space="preserve">1657f1292a20ef0ad02f1c733c8e8056038a6d6de5bed2e6d75eb385142cbb90</x:t>
  </x:si>
  <x:si>
    <x:t xml:space="preserve">[{"round": 1, "benchmarks": ["results/benchmarks/notebook-controlled/20260904_104755/S01/repeat-01/front_tensorrt_fp32_20260904_105223.json", "results/benchmarks/notebook-controlled/20260904_104755/S01/repeat-02/front_tensorrt_fp32_20260904_105241.json", "results/benchmarks/notebook-controlled/20260904_104755/S01/repeat-03/front_tensorrt_fp32_20260904_105259.json"], "aggregate": {"benchmark_repetitions": 3, "measured_runs_per_repetition": 200, "total_measured_runs": 600, "replicate_median_ms": [44.887716496305075, 44.785463502194034, 43.942856496869354], "replicate_mean_ms": [44.94487110005139, 44.91223885968793, 44.17432209447725], "replicate_median_mean_ms": 44.53867883178949, "replicate_median_std_ms": 0.5185239722456698, "replicate_median_cv": 0.011642104926461654, "replicate_median_ci95_low_ms": 43.25048991560818, "replicate_median_ci95_high_ms": 45.8268677479708, "mean_ms": 44.67714401807219, "median_ms": 44.509862000268186, "standard_deviation_ms": 1.299870323100578, "coefficient_of_variation": 0.029094749713069665, "min_ms": 42.054261997691356, "max_ms": 48.99946499790531, "p05_ms": 42.835195003135595, "p25_ms": 43.685598249794566, "p75_ms": 45.60528374895512, "p95_ms": 46.95399169904703, "p99_ms": 47.97766403615241, "iqr_ms": 1.9196854991605505, "fps": 22.38280942030434, "gpu_peak_allocated_bytes": 941561856, "gpu_peak_reserved_bytes": 1000341504}, "official": true}]</x:t>
  </x:si>
  <x:si>
    <x:t xml:space="preserve">S02</x:t>
  </x:si>
  <x:si>
    <x:t xml:space="preserve">artifacts/experiments/S02/front/model.engine</x:t>
  </x:si>
  <x:si>
    <x:t xml:space="preserve">results/coco-evaluation/S02-front.json</x:t>
  </x:si>
  <x:si>
    <x:t xml:space="preserve">["results/benchmarks/notebook-controlled/20260904_104755/S02/repeat-01/front_tensorrt_fp32_20260904_105316.json", "results/benchmarks/notebook-controlled/20260904_104755/S02/repeat-02/front_tensorrt_fp32_20260904_105334.json", "results/benchmarks/notebook-controlled/20260904_104755/S02/repeat-03/front_tensorrt_fp32_20260904_105352.json"]</x:t>
  </x:si>
  <x:si>
    <x:t xml:space="preserve">a5a26d9f974c0e14adc550ab7644919652b2b08025f2b335d3af05e7c220902d</x:t>
  </x:si>
  <x:si>
    <x:t xml:space="preserve">[{"round": 1, "benchmarks": ["results/benchmarks/notebook-controlled/20260904_104755/S02/repeat-01/front_tensorrt_fp32_20260904_105316.json", "results/benchmarks/notebook-controlled/20260904_104755/S02/repeat-02/front_tensorrt_fp32_20260904_105334.json", "results/benchmarks/notebook-controlled/20260904_104755/S02/repeat-03/front_tensorrt_fp32_20260904_105352.json"], "aggregate": {"benchmark_repetitions": 3, "measured_runs_per_repetition": 200, "total_measured_runs": 600, "replicate_median_ms": [42.77670200099237, 43.21196299861185, 42.82588899877737], "replicate_mean_ms": [43.038969919907686, 43.425512820103904, 42.86413266509044], "replicate_median_mean_ms": 42.9381846661272, "replicate_median_std_ms": 0.23837107981324704, "replicate_median_cv": 0.005551494122696149, "replicate_median_ci95_low_ms": 42.345990284787945, "replicate_median_ci95_high_ms": 43.530379047466454, "mean_ms": 43.10953846836734, "median_ms": 42.95711550003034, "standard_deviation_ms": 0.9840944162029024, "coefficient_of_variation": 0.022827765064685285, "min_ms": 40.98106099991128, "max_ms": 46.70429600082571, "p05_ms": 41.72241199739801, "p25_ms": 42.4860395014548, "p75_ms": 43.551571248826804, "p95_ms": 45.106496605149005, "p99_ms": 45.978701640851796, "iqr_ms": 1.065531747372006, "fps": 23.196722477875145, "gpu_peak_allocated_bytes": 941561856, "gpu_peak_reserved_bytes": 1000341504}, "official": true}]</x:t>
  </x:si>
  <x:si>
    <x:t xml:space="preserve">S03</x:t>
  </x:si>
  <x:si>
    <x:t xml:space="preserve">ffn-dimension</x:t>
  </x:si>
  <x:si>
    <x:t xml:space="preserve">S04</x:t>
  </x:si>
  <x:si>
    <x:t xml:space="preserve">artifacts/experiments/S04/front/model.engine</x:t>
  </x:si>
  <x:si>
    <x:t xml:space="preserve">results/coco-evaluation/S04-front.json</x:t>
  </x:si>
  <x:si>
    <x:t xml:space="preserve">["results/benchmarks/notebook-controlled/20260904_104755/S04/repeat-01/front_tensorrt_fp32_20260904_105410.json", "results/benchmarks/notebook-controlled/20260904_104755/S04/repeat-02/front_tensorrt_fp32_20260904_105428.json", "results/benchmarks/notebook-controlled/20260904_104755/S04/repeat-03/front_tensorrt_fp32_20260904_105446.json"]</x:t>
  </x:si>
  <x:si>
    <x:t xml:space="preserve">0be2db8272e6055f37e30e3b3a809704ffccf615e40e8c5ad0726370bb089c04</x:t>
  </x:si>
  <x:si>
    <x:t xml:space="preserve">[{"round": 1, "benchmarks": ["results/benchmarks/notebook-controlled/20260904_104755/S04/repeat-01/front_tensorrt_fp32_20260904_105410.json", "results/benchmarks/notebook-controlled/20260904_104755/S04/repeat-02/front_tensorrt_fp32_20260904_105428.json", "results/benchmarks/notebook-controlled/20260904_104755/S04/repeat-03/front_tensorrt_fp32_20260904_105446.json"], "aggregate": {"benchmark_repetitions": 3, "measured_runs_per_repetition": 200, "total_measured_runs": 600, "replicate_median_ms": [46.064877500612056, 45.616389495990006, 45.5948039998475], "replicate_mean_ms": [46.13614516980306, 45.72785710995959, 45.8059498050352], "replicate_median_mean_ms": 45.758690332149854, "replicate_median_std_ms": 0.26538541785317665, "replicate_median_cv": 0.005799672497766354, "replicate_median_ci95_low_ms": 45.099383198645455, "replicate_median_ci95_high_ms": 46.41799746565425, "mean_ms": 45.88998402826595, "median_ms": 45.76865499984706, "standard_deviation_ms": 1.17032895773334, "coefficient_of_variation": 0.025502927981244785, "min_ms": 43.30192100314889, "max_ms": 49.49725999904331, "p05_ms": 44.24601095051912, "p25_ms": 44.998984749327064, "p75_ms": 46.621299004982575, "p95_ms": 48.07662969978992, "p99_ms": 48.893655821011635, "iqr_ms": 1.6223142556555104, "fps": 21.791247505862056, "gpu_peak_allocated_bytes": 941561856, "gpu_peak_reserved_bytes": 1000341504}, "official": true}]</x:t>
  </x:si>
  <x:si>
    <x:t xml:space="preserve">C01</x:t>
  </x:si>
  <x:si>
    <x:t xml:space="preserve">combined</x:t>
  </x:si>
  <x:si>
    <x:t xml:space="preserve">structured-selected</x:t>
  </x:si>
  <x:si>
    <x:t xml:space="preserve">artifacts/experiments/C01/front/model.engine</x:t>
  </x:si>
  <x:si>
    <x:t xml:space="preserve">results/coco-evaluation/C01-front.json</x:t>
  </x:si>
  <x:si>
    <x:t xml:space="preserve">["results/benchmarks/notebook-controlled/20260904_104755/C01/repeat-01/front_tensorrt_fp16_20260904_105500.json", "results/benchmarks/notebook-controlled/20260904_104755/C01/repeat-02/front_tensorrt_fp16_20260904_105514.json", "results/benchmarks/notebook-controlled/20260904_104755/C01/repeat-03/front_tensorrt_fp16_20260904_105528.json"]</x:t>
  </x:si>
  <x:si>
    <x:t xml:space="preserve">bfbcd85bff8b8eb57c2be2368c5cba41aebe25c9892603894a59fc184ff035f6</x:t>
  </x:si>
  <x:si>
    <x:t xml:space="preserve">[{"round": 1, "benchmarks": ["results/benchmarks/notebook-controlled/20260904_104755/C01/repeat-01/front_tensorrt_fp16_20260904_105500.json", "results/benchmarks/notebook-controlled/20260904_104755/C01/repeat-02/front_tensorrt_fp16_20260904_105514.json", "results/benchmarks/notebook-controlled/20260904_104755/C01/repeat-03/front_tensorrt_fp16_20260904_105528.json"], "aggregate": {"benchmark_repetitions": 3, "measured_runs_per_repetition": 200, "total_measured_runs": 600, "replicate_median_ms": [25.126939501205925, 24.903826997615397, 26.283368501026416], "replicate_mean_ms": [25.403895925119286, 25.07744679973257, 26.183420429952093], "replicate_median_mean_ms": 25.438044999949245, "replicate_median_std_ms": 0.7405225610470161, "replicate_median_cv": 0.029110828330105306, "replicate_median_ci95_low_ms": 23.59833650741497, "replicate_median_ci95_high_ms": 27.27775349248352, "mean_ms": 25.554921051601315, "median_ms": 25.29960950050736, "standard_deviation_ms": 1.1181412929326209, "coefficient_of_variation": 0.04375444129429452, "min_ms": 23.53737199882744, "max_ms": 30.649074004031718, "p05_ms": 24.09362330181466, "p25_ms": 24.682271001438494, "p75_ms": 26.424874498843565, "p95_ms": 27.511681694886644, "p99_ms": 28.20130314830749, "iqr_ms": 1.7426034974050708, "fps": 39.13140635342868, "gpu_peak_allocated_bytes": 941561856, "gpu_peak_reserved_bytes": 1000341504}, "official": true}]</x:t>
  </x:si>
  <x:si>
    <x:t xml:space="preserve">C02</x:t>
  </x:si>
  <x:si>
    <x:t xml:space="preserve">artifacts/experiments/C02/front/model.engine</x:t>
  </x:si>
  <x:si>
    <x:t xml:space="preserve">results/coco-evaluation/C02-front.json</x:t>
  </x:si>
  <x:si>
    <x:t xml:space="preserve">["results/benchmarks/notebook-controlled/20260904_104755/C02/repeat-01/front_tensorrt_int8_20260904_105542.json", "results/benchmarks/notebook-controlled/20260904_104755/C02/repeat-02/front_tensorrt_int8_20260904_105556.json", "results/benchmarks/notebook-controlled/20260904_104755/C02/repeat-03/front_tensorrt_int8_20260904_105610.json"]</x:t>
  </x:si>
  <x:si>
    <x:t xml:space="preserve">828a0f74ef4b9629f999a99c3c955e97d69cc52306bf44aeea69f7f8d128c6e3</x:t>
  </x:si>
  <x:si>
    <x:t xml:space="preserve">[{"round": 1, "benchmarks": ["results/benchmarks/notebook-controlled/20260904_104755/C02/repeat-01/front_tensorrt_int8_20260904_105542.json", "results/benchmarks/notebook-controlled/20260904_104755/C02/repeat-02/front_tensorrt_int8_20260904_105556.json", "results/benchmarks/notebook-controlled/20260904_104755/C02/repeat-03/front_tensorrt_int8_20260904_105610.json"], "aggregate": {"benchmark_repetitions": 3, "measured_runs_per_repetition": 200, "total_measured_runs": 600, "replicate_median_ms": [26.37079200212611, 26.096891997440252, 25.931219999620225], "replicate_mean_ms": [26.136388615232136, 25.966977779717126, 25.89996900955157], "replicate_median_mean_ms": 26.132967999728862, "replicate_median_std_ms": 0.22199548374371034, "replicate_median_cv": 0.008494843897792766, "replicate_median_ci95_low_ms": 25.581456137389225, "replicate_median_ci95_high_ms": 26.6844798620685, "mean_ms": 26.001111801500276, "median_ms": 26.182795998465735, "standard_deviation_ms": 0.9883946343311655, "coefficient_of_variation": 0.03801355272331603, "min_ms": 23.30352699937066, "max_ms": 28.45742699719267, "p05_ms": 24.24414754859754, "p25_ms": 25.30518849926011, "p75_ms": 26.70435699656082, "p95_ms": 27.425261502867215, "p99_ms": 27.946537816678756, "iqr_ms": 1.3991684973007068, "fps": 38.4598938550889, "gpu_peak_allocated_bytes": 941561856, "gpu_peak_reserved_bytes": 1000341504}, "official": true}]</x:t>
  </x:si>
  <x:si>
    <x:t xml:space="preserve">C03</x:t>
  </x:si>
  <x:si>
    <x:t xml:space="preserve">structured-resolution</x:t>
  </x:si>
  <x:si>
    <x:t xml:space="preserve">1x3x432x432</x:t>
  </x:si>
  <x:si>
    <x:t xml:space="preserve">artifacts/experiments/C03/front/model.engine</x:t>
  </x:si>
  <x:si>
    <x:t xml:space="preserve">results/coco-evaluation/C03-front.json</x:t>
  </x:si>
  <x:si>
    <x:t xml:space="preserve">["results/benchmarks/notebook-controlled/20260904_104755/C03/repeat-01/front_tensorrt_fp32_20260904_105626.json", "results/benchmarks/notebook-controlled/20260904_104755/C03/repeat-02/front_tensorrt_fp32_20260904_105642.json", "results/benchmarks/notebook-controlled/20260904_104755/C03/repeat-03/front_tensorrt_fp32_20260904_105658.json"]</x:t>
  </x:si>
  <x:si>
    <x:t xml:space="preserve">633b6f87ea21ef96eace52901791958a66b13f87022fc86b1e4d4873afdb3ecf</x:t>
  </x:si>
  <x:si>
    <x:t xml:space="preserve">[{"round": 1, "benchmarks": ["results/benchmarks/notebook-controlled/20260904_104755/C03/repeat-01/front_tensorrt_fp32_20260904_105626.json", "results/benchmarks/notebook-controlled/20260904_104755/C03/repeat-02/front_tensorrt_fp32_20260904_105642.json", "results/benchmarks/notebook-controlled/20260904_104755/C03/repeat-03/front_tensorrt_fp32_20260904_105658.json"], "aggregate": {"benchmark_repetitions": 3, "measured_runs_per_repetition": 200, "total_measured_runs": 600, "replicate_median_ms": [36.10285100148758, 36.376029001985444, 36.43458350052242], "replicate_mean_ms": [36.078320195192646, 36.23329845006083, 36.31526332505018], "replicate_median_mean_ms": 36.304487834665146, "replicate_median_std_ms": 0.17705992402330442, "replicate_median_cv": 0.00487708089505782, "replicate_median_ci95_low_ms": 35.86461110025129, "replicate_median_ci95_high_ms": 36.744364569079, "mean_ms": 36.208960656767886, "median_ms": 36.29605549576809, "standard_deviation_ms": 1.1112755853658471, "coefficient_of_variation": 0.030690623680139698, "min_ms": 33.22450899577234, "max_ms": 39.55846199824009, "p05_ms": 34.21704210122698, "p25_ms": 35.46080725027423, "p75_ms": 36.99683899867523, "p95_ms": 37.83398185187252, "p99_ms": 38.435297518444706, "iqr_ms": 1.536031748401001, "fps": 27.617473185137893, "gpu_peak_allocated_bytes": 936573952, "gpu_peak_reserved_bytes": 977272832}, "official": true}]</x:t>
  </x:si>
  <x:si>
    <x:t xml:space="preserve">C04</x:t>
  </x:si>
  <x:si>
    <x:t xml:space="preserve">1x3x480x480</x:t>
  </x:si>
  <x:si>
    <x:t xml:space="preserve">artifacts/experiments/C04/front/model.engine</x:t>
  </x:si>
  <x:si>
    <x:t xml:space="preserve">results/coco-evaluation/C04-front.json</x:t>
  </x:si>
  <x:si>
    <x:t xml:space="preserve">["results/benchmarks/notebook-controlled/20260904_104755/C04/repeat-01/front_tensorrt_fp32_20260904_105715.json", "results/benchmarks/notebook-controlled/20260904_104755/C04/repeat-02/front_tensorrt_fp32_20260904_105733.json", "results/benchmarks/notebook-controlled/20260904_104755/C04/repeat-03/front_tensorrt_fp32_20260904_105750.json"]</x:t>
  </x:si>
  <x:si>
    <x:t xml:space="preserve">14de81813ff71cac78d0d349431099c5119905068ce3f85da70404280a86a551</x:t>
  </x:si>
  <x:si>
    <x:t xml:space="preserve">[{"round": 1, "benchmarks": ["results/benchmarks/notebook-controlled/20260904_104755/C04/repeat-01/front_tensorrt_fp32_20260904_105715.json", "results/benchmarks/notebook-controlled/20260904_104755/C04/repeat-02/front_tensorrt_fp32_20260904_105733.json", "results/benchmarks/notebook-controlled/20260904_104755/C04/repeat-03/front_tensorrt_fp32_20260904_105750.json"], "aggregate": {"benchmark_repetitions": 3, "measured_runs_per_repetition": 200, "total_measured_runs": 600, "replicate_median_ms": [42.05381450083223, 41.9712895018165, 41.8413654952019], "replicate_mean_ms": [41.932456035101495, 41.67228156456986, 41.67631771986635], "replicate_median_mean_ms": 41.95548983261688, "replicate_median_std_ms": 0.10710213423850365, "replicate_median_cv": 0.0025527561390843475, "replicate_median_ci95_low_ms": 41.68941190833523, "replicate_median_ci95_high_ms": 42.22156775689852, "mean_ms": 41.76035177317923, "median_ms": 41.97326050052652, "standard_deviation_ms": 0.9923271832611434, "coefficient_of_variation": 0.023762423953010616, "min_ms": 38.95193499920424, "max_ms": 44.69248000532389, "p05_ms": 39.830163451551925, "p25_ms": 41.14152350302902, "p75_ms": 42.457026000192855, "p95_ms": 43.17550875166489, "p99_ms": 43.628503036961774, "iqr_ms": 1.315502497163834, "fps": 23.94615843830737, "gpu_peak_allocated_bytes": 939813376, "gpu_peak_reserved_bytes": 981467136}, "official": true}]</x:t>
  </x:si>
  <x:si>
    <x:t xml:space="preserve">R01</x:t>
  </x:si>
  <x:si>
    <x:t xml:space="preserve">input</x:t>
  </x:si>
  <x:si>
    <x:t xml:space="preserve">input-resolution</x:t>
  </x:si>
  <x:si>
    <x:t xml:space="preserve">artifacts/experiments/R01/front/model.engine</x:t>
  </x:si>
  <x:si>
    <x:t xml:space="preserve">results/coco-evaluation/R01-front.json</x:t>
  </x:si>
  <x:si>
    <x:t xml:space="preserve">["results/benchmarks/notebook-controlled/20260904_104755/R01/repeat-01/front_tensorrt_fp16_20260904_105803.json", "results/benchmarks/notebook-controlled/20260904_104755/R01/repeat-02/front_tensorrt_fp16_20260904_105817.json", "results/benchmarks/notebook-controlled/20260904_104755/R01/repeat-03/front_tensorrt_fp16_20260904_105830.json"]</x:t>
  </x:si>
  <x:si>
    <x:t xml:space="preserve">9c4cef49331dc94581f92ff10a141a5619caaf3c71aa708c24bfc0a39311efda</x:t>
  </x:si>
  <x:si>
    <x:t xml:space="preserve">[{"round": 1, "benchmarks": ["results/benchmarks/notebook-controlled/20260904_104755/R01/repeat-01/front_tensorrt_fp16_20260904_105803.json", "results/benchmarks/notebook-controlled/20260904_104755/R01/repeat-02/front_tensorrt_fp16_20260904_105817.json", "results/benchmarks/notebook-controlled/20260904_104755/R01/repeat-03/front_tensorrt_fp16_20260904_105830.json"], "aggregate": {"benchmark_repetitions": 3, "measured_runs_per_repetition": 200, "total_measured_runs": 600, "replicate_median_ms": [23.208815502584912, 25.012070997036062, 23.808357000234537], "replicate_mean_ms": [23.409623375155206, 24.883610060423962, 24.0221716951055], "replicate_median_mean_ms": 24.00974783328517, "replicate_median_std_ms": 0.9183416005467065, "replicate_median_cv": 0.03824869827552258, "replicate_median_ci95_low_ms": 21.728276706754528, "replicate_median_ci95_high_ms": 26.291218959815815, "mean_ms": 24.105135043561557, "median_ms": 24.010295503103407, "standard_deviation_ms": 1.1279035651392872, "coefficient_of_variation": 0.046791007936732076, "min_ms": 21.792273000755813, "max_ms": 26.894788999925368, "p05_ms": 22.4953793505847, "p25_ms": 23.13907899770129, "p75_ms": 25.098758251260733, "p95_ms": 25.820945401574136, "p99_ms": 26.436979941063328, "iqr_ms": 1.9596792535594432, "fps": 41.484936640796725, "gpu_peak_allocated_bytes": 936573952, "gpu_peak_reserved_bytes": 977272832}, "official": true}]</x:t>
  </x:si>
  <x:si>
    <x:t xml:space="preserve">R02</x:t>
  </x:si>
  <x:si>
    <x:t xml:space="preserve">artifacts/experiments/R02/front/model.engine</x:t>
  </x:si>
  <x:si>
    <x:t xml:space="preserve">results/coco-evaluation/R02-front.json</x:t>
  </x:si>
  <x:si>
    <x:t xml:space="preserve">["results/benchmarks/notebook-controlled/20260904_104755/R02/repeat-01/front_tensorrt_fp32_20260904_105848.json", "results/benchmarks/notebook-controlled/20260904_104755/R02/repeat-02/front_tensorrt_fp32_20260904_105905.json", "results/benchmarks/notebook-controlled/20260904_104755/R02/repeat-03/front_tensorrt_fp32_20260904_105924.json"]</x:t>
  </x:si>
  <x:si>
    <x:t xml:space="preserve">ff5c45209c42a5a49a130e6694eed0af947c9d7c2a667ebf5d4b0a2b56cd2a31</x:t>
  </x:si>
  <x:si>
    <x:t xml:space="preserve">[{"round": 1, "benchmarks": ["results/benchmarks/notebook-controlled/20260904_104755/R02/repeat-01/front_tensorrt_fp32_20260904_105848.json", "results/benchmarks/notebook-controlled/20260904_104755/R02/repeat-02/front_tensorrt_fp32_20260904_105905.json", "results/benchmarks/notebook-controlled/20260904_104755/R02/repeat-03/front_tensorrt_fp32_20260904_105924.json"], "aggregate": {"benchmark_repetitions": 3, "measured_runs_per_repetition": 200, "total_measured_runs": 600, "replicate_median_ms": [43.12465450129821, 42.1917415005737, 43.12659249626449], "replicate_mean_ms": [43.07042928507144, 42.383735650073504, 43.066560674888024], "replicate_median_mean_ms": 42.8143294993788, "replicate_median_std_ms": 0.539177893786669, "replicate_median_cv": 0.01259339805367014, "replicate_median_ci95_low_ms": 41.47482925676148, "replicate_median_ci95_high_ms": 44.15382974199612, "mean_ms": 42.84024187001099, "median_ms": 42.96294300002046, "standard_deviation_ms": 1.2861382243507, "coefficient_of_variation": 0.030021731162330853, "min_ms": 39.765353001712356, "max_ms": 47.83193000184838, "p05_ms": 40.673409801820526, "p25_ms": 41.94262375312974, "p75_ms": 43.79266624709999, "p95_ms": 44.72060505286208, "p99_ms": 45.70533483325562, "iqr_ms": 1.8500424939702498, "fps": 23.342538612043167, "gpu_peak_allocated_bytes": 939813376, "gpu_peak_reserved_bytes": 981467136}, "official": true}]</x:t>
  </x:si>
  <x:si>
    <x:t xml:space="preserve">R03</x:t>
  </x:si>
  <x:si>
    <x:t xml:space="preserve">1x3x384x384</x:t>
  </x:si>
  <x:si>
    <x:t xml:space="preserve">artifacts/experiments/R03/front/model.engine</x:t>
  </x:si>
  <x:si>
    <x:t xml:space="preserve">results/coco-evaluation/R03-front.json</x:t>
  </x:si>
  <x:si>
    <x:t xml:space="preserve">["results/benchmarks/notebook-controlled/20260904_104755/R03/repeat-01/front_tensorrt_fp32_20260904_105940.json", "results/benchmarks/notebook-controlled/20260904_104755/R03/repeat-02/front_tensorrt_fp32_20260904_105955.json", "results/benchmarks/notebook-controlled/20260904_104755/R03/repeat-03/front_tensorrt_fp32_20260904_110010.json"]</x:t>
  </x:si>
  <x:si>
    <x:t xml:space="preserve">b3ee83810ee62c55ccc670247a85fa94eef62ebd249388dd51736a6f84407199</x:t>
  </x:si>
  <x:si>
    <x:t xml:space="preserve">[{"round": 1, "benchmarks": ["results/benchmarks/notebook-controlled/20260904_104755/R03/repeat-01/front_tensorrt_fp32_20260904_105940.json", "results/benchmarks/notebook-controlled/20260904_104755/R03/repeat-02/front_tensorrt_fp32_20260904_105955.json", "results/benchmarks/notebook-controlled/20260904_104755/R03/repeat-03/front_tensorrt_fp32_20260904_110010.json"], "aggregate": {"benchmark_repetitions": 3, "measured_runs_per_repetition": 200, "total_measured_runs": 600, "replicate_median_ms": [32.54655850105337, 32.933414997387445, 31.758172997797374], "replicate_mean_ms": [32.432675844938785, 33.18148440986988, 32.026792349533935], "replicate_median_mean_ms": 32.41271549874606, "replicate_median_std_ms": 0.5989439884914884, "replicate_median_cv": 0.018478673547566837, "replicate_median_ci95_low_ms": 30.92473606349131, "replicate_median_ci95_high_ms": 33.90069493400081, "mean_ms": 32.546984201447536, "median_ms": 32.38640950439731, "standard_deviation_ms": 1.4199168838885137, "coefficient_of_variation": 0.04362668058889962, "min_ms": 29.98398400086444, "max_ms": 41.25526300049387, "p05_ms": 30.67092479650455, "p25_ms": 31.504781503826962, "p75_ms": 33.33487075360608, "p95_ms": 34.875148851642734, "p99_ms": 36.249679074171574, "iqr_ms": 1.830089249779121, "fps": 30.724812898502734, "gpu_peak_allocated_bytes": 933675520, "gpu_peak_reserved_bytes": 966787072}, "official": true}]</x:t>
  </x:si>
  <x:si>
    <x:t xml:space="preserve">Q01</x:t>
  </x:si>
  <x:si>
    <x:t xml:space="preserve">modelopt-int8-smoothquant</x:t>
  </x:si>
  <x:si>
    <x:t xml:space="preserve">artifacts/experiments/Q01/front/model.engine</x:t>
  </x:si>
  <x:si>
    <x:t xml:space="preserve">results/coco-evaluation/Q01-front.json</x:t>
  </x:si>
  <x:si>
    <x:t xml:space="preserve">["results/benchmarks/notebook-controlled/20260904_104755/Q01/repeat-01/front_tensorrt_int8_20260904_110024.json", "results/benchmarks/notebook-controlled/20260904_104755/Q01/repeat-02/front_tensorrt_int8_20260904_110038.json", "results/benchmarks/notebook-controlled/20260904_104755/Q01/repeat-03/front_tensorrt_int8_20260904_110052.json"]</x:t>
  </x:si>
  <x:si>
    <x:t xml:space="preserve">482305be94d757175ea25f97c6f9c6823e4f524165d774c9e4fba8ca0a1157c2</x:t>
  </x:si>
  <x:si>
    <x:t xml:space="preserve">[{"round": 1, "benchmarks": ["results/benchmarks/notebook-controlled/20260904_104755/Q01/repeat-01/front_tensorrt_int8_20260904_110024.json", "results/benchmarks/notebook-controlled/20260904_104755/Q01/repeat-02/front_tensorrt_int8_20260904_110038.json", "results/benchmarks/notebook-controlled/20260904_104755/Q01/repeat-03/front_tensorrt_int8_20260904_110052.json"], "aggregate": {"benchmark_repetitions": 3, "measured_runs_per_repetition": 200, "total_measured_runs": 600, "replicate_median_ms": [24.830207501508994, 25.11263899941696, 25.379980495927157], "replicate_mean_ms": [25.099404970314936, 25.526012699883722, 25.625345494736393], "replicate_median_mean_ms": 25.107608998951036, "replicate_median_std_ms": 0.27492101052192014, "replicate_median_cv": 0.010949708932196848, "replicate_median_ci95_low_ms": 24.424612228240672, "replicate_median_ci95_high_ms": 25.7906057696614, "mean_ms": 25.41692105497835, "median_ms": 25.113971998507623, "standard_deviation_ms": 1.187919829619974, "coefficient_of_variation": 0.046737361580910255, "min_ms": 23.49220400355989, "max_ms": 30.38223899784498, "p05_ms": 24.0032038440404, "p25_ms": 24.593713496869896, "p75_ms": 25.910429996656603, "p95_ms": 27.84945969469845, "p99_ms": 28.663697791853334, "iqr_ms": 1.3167164997867076, "fps": 39.343868513300215, "gpu_peak_allocated_bytes": 941561856, "gpu_peak_reserved_bytes": 1000341504}, "official": true}]</x:t>
  </x:si>
  <x:si>
    <x:t xml:space="preserve">Q02</x:t>
  </x:si>
  <x:si>
    <x:t xml:space="preserve">modelopt-mixed-precision</x:t>
  </x:si>
  <x:si>
    <x:t xml:space="preserve">mixed</x:t>
  </x:si>
  <x:si>
    <x:t xml:space="preserve">artifacts/experiments/Q02/front/model.engine</x:t>
  </x:si>
  <x:si>
    <x:t xml:space="preserve">results/coco-evaluation/Q02-front.json</x:t>
  </x:si>
  <x:si>
    <x:t xml:space="preserve">["results/benchmarks/notebook-controlled/20260904_104755/Q02/repeat-01/front_tensorrt_mixed_20260904_110106.json", "results/benchmarks/notebook-controlled/20260904_104755/Q02/repeat-02/front_tensorrt_mixed_20260904_110119.json", "results/benchmarks/notebook-controlled/20260904_104755/Q02/repeat-03/front_tensorrt_mixed_20260904_110133.json"]</x:t>
  </x:si>
  <x:si>
    <x:t xml:space="preserve">3472001a47de73e1c88df401315f290d33010c10f0c218d10d96b0a29be8cf36</x:t>
  </x:si>
  <x:si>
    <x:t xml:space="preserve">[{"round": 1, "benchmarks": ["results/benchmarks/notebook-controlled/20260904_104755/Q02/repeat-01/front_tensorrt_mixed_20260904_110106.json", "results/benchmarks/notebook-controlled/20260904_104755/Q02/repeat-02/front_tensorrt_mixed_20260904_110119.json", "results/benchmarks/notebook-controlled/20260904_104755/Q02/repeat-03/front_tensorrt_mixed_20260904_110133.json"], "aggregate": {"benchmark_repetitions": 3, "measured_runs_per_repetition": 200, "total_measured_runs": 600, "replicate_median_ms": [25.52665500479634, 25.474412501353072, 24.924360997829353], "replicate_mean_ms": [25.602628129781806, 25.639870654631522, 25.073510589791113], "replicate_median_mean_ms": 25.30847616799292, "replicate_median_std_ms": 0.33367749063106594, "replicate_median_cv": 0.013184416494149125, "replicate_median_ci95_low_ms": 24.479508428760838, "replicate_median_ci95_high_ms": 26.137443907225006, "mean_ms": 25.43866979140148, "median_ms": 25.183493500662735, "standard_deviation_ms": 1.172215567058986, "coefficient_of_variation": 0.04608006537571419, "min_ms": 23.036795006191824, "max_ms": 28.759205000824295, "p05_ms": 23.833819650826626, "p25_ms": 24.58325874977163, "p75_ms": 26.144250747165643, "p95_ms": 27.59679680384579, "p99_ms": 28.432948164772824, "iqr_ms": 1.5609919973940123, "fps": 39.31023155691929, "gpu_peak_allocated_bytes": 941561856, "gpu_peak_reserved_bytes": 1000341504}, "official": true}]</x:t>
  </x:si>
  <x:si>
    <x:t xml:space="preserve">Q03</x:t>
  </x:si>
  <x:si>
    <x:t xml:space="preserve">modelopt-int4-weight-only</x:t>
  </x:si>
  <x:si>
    <x:t xml:space="preserve">int4</x:t>
  </x:si>
  <x:si>
    <x:t xml:space="preserve">엔진 생성 실패</x:t>
  </x:si>
  <x:si>
    <x:t xml:space="preserve">returncode=1; log=results/stage2-notebook-logs/Q03-build.log</x:t>
  </x:si>
  <x:si>
    <x:t xml:space="preserve">Q04</x:t>
  </x:si>
  <x:si>
    <x:t xml:space="preserve">modelopt-fp8</x:t>
  </x:si>
  <x:si>
    <x:t xml:space="preserve">fp8</x:t>
  </x:si>
  <x:si>
    <x:t xml:space="preserve">artifacts/experiments/Q04/front/model.engine</x:t>
  </x:si>
  <x:si>
    <x:t xml:space="preserve">results/coco-evaluation/Q04-front.json</x:t>
  </x:si>
  <x:si>
    <x:t xml:space="preserve">["results/benchmarks/notebook-controlled/20260904_104755/Q04/repeat-01/front_tensorrt_fp8_20260904_110150.json", "results/benchmarks/notebook-controlled/20260904_104755/Q04/repeat-02/front_tensorrt_fp8_20260904_110206.json", "results/benchmarks/notebook-controlled/20260904_104755/Q04/repeat-03/front_tensorrt_fp8_20260904_110223.json"]</x:t>
  </x:si>
  <x:si>
    <x:t xml:space="preserve">9528ac5c63f4b5e59c78bb4222c8ce50e1cbd92cfcd7ad904327cf4a0335d2d2</x:t>
  </x:si>
  <x:si>
    <x:t xml:space="preserve">[{"round": 1, "benchmarks": ["results/benchmarks/notebook-controlled/20260904_104755/Q04/repeat-01/front_tensorrt_fp8_20260904_110150.json", "results/benchmarks/notebook-controlled/20260904_104755/Q04/repeat-02/front_tensorrt_fp8_20260904_110206.json", "results/benchmarks/notebook-controlled/20260904_104755/Q04/repeat-03/front_tensorrt_fp8_20260904_110223.json"], "aggregate": {"benchmark_repetitions": 3, "measured_runs_per_repetition": 200, "total_measured_runs": 600, "replicate_median_ms": [38.1283330025326, 37.791531500261044, 38.20535950217163], "replicate_mean_ms": [38.4646704552506, 38.024205605215684, 38.46602554025594], "replicate_median_mean_ms": 38.04174133498842, "replicate_median_std_ms": 0.22008405543652626, "replicate_median_cv": 0.005785330737058208, "replicate_median_ci95_low_ms": 37.49497810702479, "replicate_median_ci95_high_ms": 38.58850456295205, "mean_ms": 38.318300533574075, "median_ms": 37.99387800245313, "standard_deviation_ms": 1.1524567305256874, "coefficient_of_variation": 0.030075883180568447, "min_ms": 36.30811999755679, "max_ms": 43.13816400099313, "p05_ms": 36.91635280192713, "p25_ms": 37.51540074517834, "p75_ms": 38.86630625129328, "p95_ms": 40.58728890195198, "p99_ms": 41.89420311253343, "iqr_ms": 1.350905506114941, "fps": 26.09719079591776, "gpu_peak_allocated_bytes": 941561856, "gpu_peak_reserved_bytes": 1000341504}, "official": true}]</x:t>
  </x:si>
  <x:si>
    <x:t xml:space="preserve">Q05</x:t>
  </x:si>
  <x:si>
    <x:t xml:space="preserve">modelopt-fp8-mixed</x:t>
  </x:si>
  <x:si>
    <x:t xml:space="preserve">artifacts/experiments/Q05/front/model.engine</x:t>
  </x:si>
  <x:si>
    <x:t xml:space="preserve">results/coco-evaluation/Q05-front.json</x:t>
  </x:si>
  <x:si>
    <x:t xml:space="preserve">["results/benchmarks/notebook-controlled/20260904_104755/Q05/repeat-01/front_tensorrt_mixed_20260904_110240.json", "results/benchmarks/notebook-controlled/20260904_104755/Q05/repeat-02/front_tensorrt_mixed_20260904_110258.json", "results/benchmarks/notebook-controlled/20260904_104755/Q05/repeat-03/front_tensorrt_mixed_20260904_110317.json"]</x:t>
  </x:si>
  <x:si>
    <x:t xml:space="preserve">13ca51cd4eefa0f04904444ad80bdaf6cafce52420c0537965076d92e36262e7</x:t>
  </x:si>
  <x:si>
    <x:t xml:space="preserve">[{"round": 1, "benchmarks": ["results/benchmarks/notebook-controlled/20260904_104755/Q05/repeat-01/front_tensorrt_mixed_20260904_110240.json", "results/benchmarks/notebook-controlled/20260904_104755/Q05/repeat-02/front_tensorrt_mixed_20260904_110258.json", "results/benchmarks/notebook-controlled/20260904_104755/Q05/repeat-03/front_tensorrt_mixed_20260904_110317.json"], "aggregate": {"benchmark_repetitions": 3, "measured_runs_per_repetition": 200, "total_measured_runs": 600, "replicate_median_ms": [42.93441499976325, 43.809970000438625, 43.138730001373915], "replicate_mean_ms": [43.22307128484681, 43.91613921998214, 43.439731049693364], "replicate_median_mean_ms": 43.29437166719193, "replicate_median_std_ms": 0.45805827784886666, "replicate_median_cv": 0.01058008836275545, "replicate_median_ci95_low_ms": 42.15639998589338, "replicate_median_ci95_high_ms": 44.432343348490484, "mean_ms": 43.52631385150744, "median_ms": 43.33256249810802, "standard_deviation_ms": 1.226915452414823, "coefficient_of_variation": 0.028187901612815564, "min_ms": 40.93052899406757, "max_ms": 47.388359998876695, "p05_ms": 41.77132059994619, "p25_ms": 42.59107500001846, "p75_ms": 44.31426724841003, "p95_ms": 45.66807684714149, "p99_ms": 46.64238819001184, "iqr_ms": 1.7231922483915696, "fps": 22.974608036222833, "gpu_peak_allocated_bytes": 941561856, "gpu_peak_reserved_bytes": 1000341504}, "official": true}]</x:t>
  </x:si>
  <x:si>
    <x:t xml:space="preserve">Q06</x:t>
  </x:si>
  <x:si>
    <x:t xml:space="preserve">modelopt-fp8-mixed-kld</x:t>
  </x:si>
  <x:si>
    <x:t xml:space="preserve">artifacts/experiments/Q06/front/model.engine</x:t>
  </x:si>
  <x:si>
    <x:t xml:space="preserve">results/coco-evaluation/Q06-front.json</x:t>
  </x:si>
  <x:si>
    <x:t xml:space="preserve">["results/benchmarks/notebook-controlled/20260904_104755/Q06/repeat-01/front_tensorrt_mixed_20260904_110334.json", "results/benchmarks/notebook-controlled/20260904_104755/Q06/repeat-02/front_tensorrt_mixed_20260904_110350.json", "results/benchmarks/notebook-controlled/20260904_104755/Q06/repeat-03/front_tensorrt_mixed_20260904_110407.json"]</x:t>
  </x:si>
  <x:si>
    <x:t xml:space="preserve">6276e16f05618b906cad3c5e4bc1c47d668852fe4277b3ff3178a329979cc643</x:t>
  </x:si>
  <x:si>
    <x:t xml:space="preserve">[{"round": 1, "benchmarks": ["results/benchmarks/notebook-controlled/20260904_104755/Q06/repeat-01/front_tensorrt_mixed_20260904_110334.json", "results/benchmarks/notebook-controlled/20260904_104755/Q06/repeat-02/front_tensorrt_mixed_20260904_110350.json", "results/benchmarks/notebook-controlled/20260904_104755/Q06/repeat-03/front_tensorrt_mixed_20260904_110407.json"], "aggregate": {"benchmark_repetitions": 3, "measured_runs_per_repetition": 200, "total_measured_runs": 600, "replicate_median_ms": [39.41318600118393, 39.51208500075154, 39.330195999355055], "replicate_mean_ms": [39.661235740095435, 39.71326136022981, 39.566889709785755], "replicate_median_mean_ms": 39.41848900043018, "replicate_median_std_ms": 0.09106038413056938, "replicate_median_cv": 0.0023100932186816098, "replicate_median_ci95_low_ms": 39.192264208870036, "replicate_median_ci95_high_ms": 39.64471379199032, "mean_ms": 39.647128936703666, "median_ms": 39.408903001458384, "standard_deviation_ms": 0.9840188534663551, "coefficient_of_variation": 0.024819422738966385, "min_ms": 37.79056899657007, "max_ms": 44.386878005752806, "p05_ms": 38.52492554942728, "p25_ms": 39.00805299963395, "p75_ms": 40.085282000291045, "p95_ms": 41.529231199092465, "p99_ms": 43.24338190665002, "iqr_ms": 1.0772290006570984, "fps": 25.222507324464583, "gpu_peak_allocated_bytes": 941561856, "gpu_peak_reserved_bytes": 1000341504}, "official": true}]</x:t>
  </x:si>
  <x:si>
    <x:t xml:space="preserve">Q07</x:t>
  </x:si>
  <x:si>
    <x:t xml:space="preserve">artifacts/experiments/Q07/front/model.engine</x:t>
  </x:si>
  <x:si>
    <x:t xml:space="preserve">results/coco-evaluation/Q07-front.json</x:t>
  </x:si>
  <x:si>
    <x:t xml:space="preserve">["results/benchmarks/notebook-controlled/20260904_104755/Q07/repeat-01/front_tensorrt_mixed_20260904_110425.json", "results/benchmarks/notebook-controlled/20260904_104755/Q07/repeat-02/front_tensorrt_mixed_20260904_110442.json", "results/benchmarks/notebook-controlled/20260904_104755/Q07/repeat-03/front_tensorrt_mixed_20260904_110458.json"]</x:t>
  </x:si>
  <x:si>
    <x:t xml:space="preserve">3c7053bd3d63c5c89b195fb2eb3f3f9e1a29542fefc236571ebc299cda5cab1c</x:t>
  </x:si>
  <x:si>
    <x:t xml:space="preserve">[{"round": 1, "benchmarks": ["results/benchmarks/notebook-controlled/20260904_104755/Q07/repeat-01/front_tensorrt_mixed_20260904_110425.json", "results/benchmarks/notebook-controlled/20260904_104755/Q07/repeat-02/front_tensorrt_mixed_20260904_110442.json", "results/benchmarks/notebook-controlled/20260904_104755/Q07/repeat-03/front_tensorrt_mixed_20260904_110458.json"], "aggregate": {"benchmark_repetitions": 3, "measured_runs_per_repetition": 200, "total_measured_runs": 600, "replicate_median_ms": [38.77304900379386, 38.21338999841828, 38.15618050066405], "replicate_mean_ms": [39.06460407004488, 38.35770868965483, 38.37075844989158], "replicate_median_mean_ms": 38.380873167625396, "replicate_median_std_ms": 0.34083668598633465, "replicate_median_cv": 0.008880378632809048, "replicate_median_ci95_low_ms": 37.53411956583137, "replicate_median_ci95_high_ms": 39.22762676941942, "mean_ms": 38.5976904031971, "median_ms": 38.29855150252115, "standard_deviation_ms": 1.2102684128720953, "coefficient_of_variation": 0.03135598011770795, "min_ms": 36.37856400018791, "max_ms": 51.733525993768126, "p05_ms": 37.287459499930264, "p25_ms": 37.81191249800031, "p75_ms": 39.08678475272609, "p95_ms": 40.82614890357945, "p99_ms": 41.82187388847524, "iqr_ms": 1.2748722547257785, "fps": 25.90828595063213, "gpu_peak_allocated_bytes": 941561856, "gpu_peak_reserved_bytes": 1000341504}, "official": true}]</x:t>
  </x:si>
  <x:si>
    <x:t xml:space="preserve">계열</x:t>
  </x:si>
  <x:si>
    <x:t xml:space="preserve">경량화 방식</x:t>
  </x:si>
  <x:si>
    <x:t xml:space="preserve">BBox Δ vs B01</x:t>
  </x:si>
  <x:si>
    <x:t xml:space="preserve">Mask Δ vs B01</x:t>
  </x:si>
  <x:si>
    <x:t xml:space="preserve">mIoU Δ vs B01</x:t>
  </x:si>
  <x:si>
    <x:t xml:space="preserve">CI95 하한 ms</x:t>
  </x:si>
  <x:si>
    <x:t xml:space="preserve">CI95 상한 ms</x:t>
  </x:si>
  <x:si>
    <x:t xml:space="preserve">GPU allocated MiB</x:t>
  </x:si>
  <x:si>
    <x:t xml:space="preserve">Engine MiB</x:t>
  </x:si>
  <x:si>
    <x:t xml:space="preserve">Latency 감소율</x:t>
  </x:si>
  <x:si>
    <x:t xml:space="preserve">Speedup</x:t>
  </x:si>
  <x:si>
    <x:t xml:space="preserve">Memory 감소율</x:t>
  </x:si>
  <x:si>
    <x:t xml:space="preserve">Engine 감소율</x:t>
  </x:si>
  <x:si>
    <x:t xml:space="preserve">측정 유효</x:t>
  </x:si>
  <x:si>
    <x:t xml:space="preserve">정확도 Gate</x:t>
  </x:si>
  <x:si>
    <x:t xml:space="preserve">Pareto 대상</x:t>
  </x:si>
  <x:si>
    <x:t xml:space="preserve">Pareto 최적</x:t>
  </x:si>
  <x:si>
    <x:t xml:space="preserve">CV 재측정 경고</x:t>
  </x:si>
  <x:si>
    <x:t xml:space="preserve">P95 예산 초과 경고</x:t>
  </x:si>
  <x:si>
    <x:t xml:space="preserve">제외 사유</x:t>
  </x:si>
  <x:si>
    <x:t xml:space="preserve">30 FPS 적합</x:t>
  </x:si>
  <x:si>
    <x:t xml:space="preserve">최종 배포 후보</x:t>
  </x:si>
  <x:si>
    <x:t xml:space="preserve">accuracy retention gate failed</x:t>
  </x:si>
  <x:si>
    <x:t xml:space="preserve">단계</x:t>
  </x:si>
  <x:si>
    <x:t xml:space="preserve">상태</x:t>
  </x:si>
  <x:si>
    <x:t xml:space="preserve">불통·제외 사유</x:t>
  </x:si>
  <x:si>
    <x:t xml:space="preserve">후속 조치</x:t>
  </x:si>
  <x:si>
    <x:t xml:space="preserve">1차 정적평가</x:t>
  </x:si>
  <x:si>
    <x:t xml:space="preserve">후보 산출물/근거 수정 후 1차 재평가</x:t>
  </x:si>
  <x:si>
    <x:t xml:space="preserve">2차 노트북평가</x:t>
  </x:si>
  <x:si>
    <x:t xml:space="preserve">후보 로그 확인 후 동일 환경에서 재실행</x:t>
  </x:si>
  <x:si>
    <x:t xml:space="preserve">배포 기준</x:t>
  </x:si>
  <x:si>
    <x:t xml:space="preserve">30 FPS 미달</x:t>
  </x:si>
  <x:si>
    <x:t xml:space="preserve">median latency가 33.33 ms를 초과</x:t>
  </x:si>
  <x:si>
    <x:t xml:space="preserve">Pareto 결과에는 보존하되 실시간 배포 후보에서 제외</x:t>
  </x:si>
  <x:si>
    <x:t xml:space="preserve">Pareto 사전 gate</x:t>
  </x:si>
  <x:si>
    <x:t xml:space="preserve">제외</x:t>
  </x:si>
  <x:si>
    <x:t xml:space="preserve">실측값은 보존하되 최종 Pareto 대상에서 제외</x:t>
  </x:si>
  <x:si>
    <x:t xml:space="preserve">Class ID</x:t>
  </x:si>
  <x:si>
    <x:t xml:space="preserve">Class</x:t>
  </x:si>
  <x:si>
    <x:t xml:space="preserve">Semantic IoU</x:t>
  </x:si>
  <x:si>
    <x:t xml:space="preserve">front</x:t>
  </x:si>
  <x:si>
    <x:t xml:space="preserve">out_line</x:t>
  </x:si>
  <x:si>
    <x:t xml:space="preserve">parking_lot</x:t>
  </x:si>
  <x:si>
    <x:t xml:space="preserve">parking_space</x:t>
  </x:si>
  <x:si>
    <x:t xml:space="preserve">전체 반복</x:t>
  </x:si>
  <x:si>
    <x:t xml:space="preserve">측정 라운드</x:t>
  </x:si>
  <x:si>
    <x:t xml:space="preserve">라운드 내 반복</x:t>
  </x:si>
  <x:si>
    <x:t xml:space="preserve">공식 결과</x:t>
  </x:si>
  <x:si>
    <x:t xml:space="preserve">표본 이미지</x:t>
  </x:si>
  <x:si>
    <x:t xml:space="preserve">Warm-up</x:t>
  </x:si>
  <x:si>
    <x:t xml:space="preserve">측정 횟수</x:t>
  </x:si>
  <x:si>
    <x:t xml:space="preserve">CV</x:t>
  </x:si>
  <x:si>
    <x:t xml:space="preserve">고정 이미지 목록</x:t>
  </x:si>
  <x:si>
    <x:t xml:space="preserve">예</x:t>
  </x:si>
  <x:si>
    <x:t xml:space="preserve">["data/training/front_session_split_v1/test/frame_000450_20251222_185548_650683_png.rf.f886b6674daf7e61d260f15392cb6e2d.jpg", "data/training/front_session_split_v1/test/frame_000390_20251222_185542_654132_png.rf.9608dad84ebc0177a4baa50ef6d4ae9b.jpg", "data/training/front_session_split_v1/test/frame_000365_20251222_185540_855819_png.rf.aa64dd48b02706eda1a1773cc59e56eb.jpg", "data/training/front_session_split_v1/test/frame_000385_20251222_185128_715776_png.rf.27a7bfa4676fd71a0d2761cfa74051d7.jpg", "data/training/front_session_split_v1/test/frame_000035_20251222_185053_715333_png.rf.b297d59f7aefbacd0f089f53ce052fe6.jpg", "data/training/front_session_split_v1/test/frame_000650_20251222_185609_451066_png.rf.eea47f71052090a574a0e754700f0cde.jpg", "data/training/front_session_split_v1/test/frame_000445_20251222_185134_704359_png.rf.80f8eba6fd317f1e09c80d19948d7114.jpg", "data/training/front_session_split_v1/test/frame_001025_20251222_185647_014213_png.rf.396b5eddd4437f8cfd0bd2741b593e7c.jpg", "data/training/front_session_split_v1/test/frame_000740_20251222_185618_346599_png.rf.2c4d3e81bbe92304fd0fd14ad1a26b77.jpg", "data/training/front_session_split_v1/test/frame_000380_20251222_185128_218918_png.rf.25c806b4b979ba80c601192270a1b47c.jpg", "data/training/front_session_split_v1/test/frame_000230_20251222_185113_213642_png.rf.a311ce3be9c71af600e7d8c83e8c68d2.jpg", "data/training/front_session_split_v1/test/frame_000240_20251222_185527_773394_png.rf.9bc8dbe1efb16cb27bcd999511dadc7f.jpg", "data/training/front_session_split_v1/test/frame_001090_20251222_185652_962498_png.rf.dc4692e2ebf79697c54bf1414a383b15.jpg", "data/training/front_session_split_v1/test/frame_000400_20251222_185544_165307_png.rf.0352bc82dfec1135f44cc442b6c97aa7.jpg", "data/training/front_session_split_v1/test/frame_000535_20251222_185557_771757_png.rf.fdbaa085bbee34892cd2c35d876acc70.jpg", "data/training/front_session_split_v1/test/frame_000465_20251222_185551_051211_png.rf.a77475620cd1f6f3bca4e0e248a0aa4c.jpg", "data/training/front_session_split_v1/test/frame_000740_20251222_185204_209151_png.rf.1d2e3dd2081181e682772fc61a195802.jpg", "data/training/front_session_split_v1/test/frame_000730_20251222_185203_208909_png.rf.6e29e1c21763af5180aca1aa1c0df20e.jpg", "data/training/front_session_split_v1/test/frame_001270_20251222_185710_958761_png.rf.173a650605b16fd282204268cbdd3cb5.jpg", "data/training/front_session_split_v1/test/frame_000015_20251222_185505_141245_png.rf.083169be4c59f254b8dd55eaa60dff8a.jpg", "data/training/front_session_split_v1/test/frame_000945_20251222_185638_130298_png.rf.932dd3e7e9370238d293c4f6b43160cc.jpg", "data/training/front_session_split_v1/test/frame_001145_20251222_185658_106075_png.rf.159821e61c26043adc78a14cad4d9ee2.jpg", "data/training/front_session_split_v1/test/frame_000935_20251222_185637_827275_png.rf.eaf2142eeb319c5713e8367bf8467f01.jpg", "data/training/front_session_split_v1/test/frame_000525_20251222_185556_950850_png.rf.4632cf93ae87a00ddd9e453555b762a2.jpg", "data/training/front_session_split_v1/test/frame_000510_20251222_185141_203980_png.rf.621f5b5831b0c932f4e85471633dfebb.jpg", "data/training/front_session_split_v1/test/frame_000770_20251222_185207_208228_png.rf.40e0e59756ca162f2ccfb6f3cd0d9182.jpg", "data/training/front_session_split_v1/test/frame_000010_20251222_185051_226632_png.rf.e7375e71bc35957e9622deec0c58ac82.jpg", "data/training/front_session_split_v1/test/frame_000200_20251222_185110_223204_png.rf.d40e018ad946de628d77075dccd3f8df.jpg", "data/training/front_session_split_v1/test/frame_000405_20251222_185544_209867_png.rf.60620b6b98b588e98b0523e2957ea3a5.jpg", "data/training/front_session_split_v1/test/frame_000770_20251222_185620_883577_png.rf.50147362b40560c390a5cbe5981bf038.jpg", "data/training/front_session_split_v1/test/frame_000475_20251222_185551_151363_png.rf.e7abd3f2eeeb9f4507bf7406208df206.jpg", "data/training/front_session_split_v1/test/frame_000155_20251222_185105_722040_png.rf.9ec6efc78f776091f07ecb76751f04d4.jpg"]</x:t>
  </x:si>
  <x:si>
    <x:t xml:space="preserve">환경 항목</x:t>
  </x:si>
  <x:si>
    <x:t xml:space="preserve">기록값</x:t>
  </x:si>
  <x:si>
    <x:t xml:space="preserve">state.created_at_utc</x:t>
  </x:si>
  <x:si>
    <x:t xml:space="preserve">2026-09-04T01:47:55.753324+00:00</x:t>
  </x:si>
  <x:si>
    <x:t xml:space="preserve">state.finished_at_utc</x:t>
  </x:si>
  <x:si>
    <x:t xml:space="preserve">2026-09-04T02:04:59.719906+00:00</x:t>
  </x:si>
  <x:si>
    <x:t xml:space="preserve">state.status</x:t>
  </x:si>
  <x:si>
    <x:t xml:space="preserve">completed</x:t>
  </x:si>
  <x:si>
    <x:t xml:space="preserve">state.gpu</x:t>
  </x:si>
  <x:si>
    <x:t xml:space="preserve">NVIDIA GeForce RTX 4050 Laptop GPU</x:t>
  </x:si>
  <x:si>
    <x:t xml:space="preserve">state.compute_capability</x:t>
  </x:si>
  <x:si>
    <x:t xml:space="preserve">[8, 9]</x:t>
  </x:si>
  <x:si>
    <x:t xml:space="preserve">state.cuda</x:t>
  </x:si>
  <x:si>
    <x:t xml:space="preserve">12.8</x:t>
  </x:si>
  <x:si>
    <x:t xml:space="preserve">state.tensorrt</x:t>
  </x:si>
  <x:si>
    <x:t xml:space="preserve">10.16.1.11</x:t>
  </x:si>
  <x:si>
    <x:t xml:space="preserve">state.nvidia_driver_and_bus</x:t>
  </x:si>
  <x:si>
    <x:t xml:space="preserve">580.173.02, 00000000:01:00.0</x:t>
  </x:si>
  <x:si>
    <x:t xml:space="preserve">state.benchmark_repetitions</x:t>
  </x:si>
  <x:si>
    <x:t xml:space="preserve">preflight.checked_at_utc</x:t>
  </x:si>
  <x:si>
    <x:t xml:space="preserve">2026-09-04T02:07:22.482589+00:00</x:t>
  </x:si>
  <x:si>
    <x:t xml:space="preserve">preflight.python</x:t>
  </x:si>
  <x:si>
    <x:t xml:space="preserve">3.10.12</x:t>
  </x:si>
  <x:si>
    <x:t xml:space="preserve">preflight.platform</x:t>
  </x:si>
  <x:si>
    <x:t xml:space="preserve">Linux-6.8.0-136-generic-x86_64-with-glibc2.35</x:t>
  </x:si>
  <x:si>
    <x:t xml:space="preserve">preflight.nvidia_driver_and_bus</x:t>
  </x:si>
  <x:si>
    <x:t xml:space="preserve">preflight.dataset</x:t>
  </x:si>
  <x:si>
    <x:t xml:space="preserve">preflight.annotation_sha256</x:t>
  </x:si>
  <x:si>
    <x:t xml:space="preserve">preflight.test_images</x:t>
  </x:si>
  <x:si>
    <x:t xml:space="preserve">preflight.annotations</x:t>
  </x:si>
  <x:si>
    <x:t xml:space="preserve">preflight.free_disk_bytes</x:t>
  </x:si>
  <x:si>
    <x:t xml:space="preserve">preflight.minimum_free_disk_gib</x:t>
  </x:si>
  <x:si>
    <x:t xml:space="preserve">preflight.verified_data_files</x:t>
  </x:si>
  <x:si>
    <x:t xml:space="preserve">preflight.verified_onnx_manifest_entries</x:t>
  </x:si>
  <x:si>
    <x:t xml:space="preserve">preflight.verified_automation_manifest_entries</x:t>
  </x:si>
  <x:si>
    <x:t xml:space="preserve">preflight.package_versions.rfdetr</x:t>
  </x:si>
  <x:si>
    <x:t xml:space="preserve">1.8.1</x:t>
  </x:si>
  <x:si>
    <x:t xml:space="preserve">preflight.package_versions.torch</x:t>
  </x:si>
  <x:si>
    <x:t xml:space="preserve">2.10.0</x:t>
  </x:si>
  <x:si>
    <x:t xml:space="preserve">preflight.package_versions.torchvision</x:t>
  </x:si>
  <x:si>
    <x:t xml:space="preserve">0.25.0</x:t>
  </x:si>
  <x:si>
    <x:t xml:space="preserve">preflight.package_versions.tensorrt-cu13</x:t>
  </x:si>
  <x:si>
    <x:t xml:space="preserve">preflight.package_versions.pycocotools</x:t>
  </x:si>
  <x:si>
    <x:t xml:space="preserve">2.0.11</x:t>
  </x:si>
  <x:si>
    <x:t xml:space="preserve">preflight.package_versions.numpy</x:t>
  </x:si>
  <x:si>
    <x:t xml:space="preserve">2.2.6</x:t>
  </x:si>
  <x:si>
    <x:t xml:space="preserve">preflight.package_versions.XlsxWriter</x:t>
  </x:si>
  <x:si>
    <x:t xml:space="preserve">3.2.9</x:t>
  </x:si>
  <x:si>
    <x:t xml:space="preserve">environment.recorded_at_utc</x:t>
  </x:si>
  <x:si>
    <x:t xml:space="preserve">2026-09-04T02:07:23.700895+00:00</x:t>
  </x:si>
  <x:si>
    <x:t xml:space="preserve">environment.cpu</x:t>
  </x:si>
  <x:si>
    <x:t xml:space="preserve">AMD Ryzen 7 7735HS with Radeon Graphics</x:t>
  </x:si>
  <x:si>
    <x:t xml:space="preserve">environment.logical_cpus</x:t>
  </x:si>
  <x:si>
    <x:t xml:space="preserve">environment.physical_cpus</x:t>
  </x:si>
  <x:si>
    <x:t xml:space="preserve">environment.ram_total_bytes</x:t>
  </x:si>
  <x:si>
    <x:t xml:space="preserve">environment.platform</x:t>
  </x:si>
  <x:si>
    <x:t xml:space="preserve">environment.kernel</x:t>
  </x:si>
  <x:si>
    <x:t xml:space="preserve">6.8.0-136-generic</x:t>
  </x:si>
  <x:si>
    <x:t xml:space="preserve">environment.cpu_scaling_governor</x:t>
  </x:si>
  <x:si>
    <x:t xml:space="preserve">powersave</x:t>
  </x:si>
  <x:si>
    <x:t xml:space="preserve">environment.cpu_energy_performance_preference</x:t>
  </x:si>
  <x:si>
    <x:t xml:space="preserve">performance</x:t>
  </x:si>
  <x:si>
    <x:t xml:space="preserve">environment.platform_profile</x:t>
  </x:si>
  <x:si>
    <x:t xml:space="preserve">environment.ac_power_connected</x:t>
  </x:si>
  <x:si>
    <x:t xml:space="preserve">environment.gpu.name</x:t>
  </x:si>
  <x:si>
    <x:t xml:space="preserve">environment.gpu.memory.total</x:t>
  </x:si>
  <x:si>
    <x:t xml:space="preserve">6141</x:t>
  </x:si>
  <x:si>
    <x:t xml:space="preserve">environment.gpu.driver_version</x:t>
  </x:si>
  <x:si>
    <x:t xml:space="preserve">580.173.02</x:t>
  </x:si>
  <x:si>
    <x:t xml:space="preserve">environment.gpu.power.limit</x:t>
  </x:si>
  <x:si>
    <x:t xml:space="preserve">[N/A]</x:t>
  </x:si>
  <x:si>
    <x:t xml:space="preserve">environment.gpu.temperature.gpu</x:t>
  </x:si>
  <x:si>
    <x:t xml:space="preserve">43</x:t>
  </x:si>
  <x:si>
    <x:t xml:space="preserve">environment.gpu.clocks.sm</x:t>
  </x:si>
  <x:si>
    <x:t xml:space="preserve">210</x:t>
  </x:si>
  <x:si>
    <x:t xml:space="preserve">environment.gpu.clocks.mem</x:t>
  </x:si>
  <x:si>
    <x:t xml:space="preserve">405</x:t>
  </x:si>
  <x:si>
    <x:t xml:space="preserve">environment.gpu.pstate</x:t>
  </x:si>
  <x:si>
    <x:t xml:space="preserve">P8</x:t>
  </x:si>
  <x:si>
    <x:t xml:space="preserve">load_stabilization_protocol.enabled</x:t>
  </x:si>
  <x:si>
    <x:t xml:space="preserve">load_stabilization_protocol.required_platform_profile</x:t>
  </x:si>
  <x:si>
    <x:t xml:space="preserve">load_stabilization_protocol.required_cpu_energy_performance_preference</x:t>
  </x:si>
  <x:si>
    <x:t xml:space="preserve">load_stabilization_protocol.initial_settle_seconds</x:t>
  </x:si>
  <x:si>
    <x:t xml:space="preserve">load_stabilization_protocol.sample_interval_seconds</x:t>
  </x:si>
  <x:si>
    <x:t xml:space="preserve">load_stabilization_protocol.required_consecutive_samples</x:t>
  </x:si>
  <x:si>
    <x:t xml:space="preserve">load_stabilization_protocol.timeout_seconds</x:t>
  </x:si>
  <x:si>
    <x:t xml:space="preserve">load_stabilization_protocol.max_cpu_utilization_percent</x:t>
  </x:si>
  <x:si>
    <x:t xml:space="preserve">load_stabilization_protocol.max_gpu_utilization_percent</x:t>
  </x:si>
  <x:si>
    <x:t xml:space="preserve">load_stabilization_protocol.max_gpu_memory_utilization_percent</x:t>
  </x:si>
  <x:si>
    <x:t xml:space="preserve">load_stabilization_protocol.max_gpu_temperature_c</x:t>
  </x:si>
  <x:si>
    <x:t xml:space="preserve">load_stabilization_protocol.max_cpu_utilization_span_percent</x:t>
  </x:si>
  <x:si>
    <x:t xml:space="preserve">load_stabilization_protocol.max_gpu_utilization_span_percent</x:t>
  </x:si>
  <x:si>
    <x:t xml:space="preserve">load_stabilization_protocol.max_gpu_memory_utilization_span_percent</x:t>
  </x:si>
  <x:si>
    <x:t xml:space="preserve">load_stabilization_protocol.max_gpu_temperature_span_c</x:t>
  </x:si>
  <x:si>
    <x:t xml:space="preserve">load_stabilization_protocol.max_cpu_utilization_delta_from_reference_percent</x:t>
  </x:si>
  <x:si>
    <x:t xml:space="preserve">load_stabilization_protocol.max_gpu_utilization_delta_from_reference_percent</x:t>
  </x:si>
  <x:si>
    <x:t xml:space="preserve">load_stabilization_protocol.max_gpu_memory_utilization_delta_from_reference_percent</x:t>
  </x:si>
  <x:si>
    <x:t xml:space="preserve">load_stabilization_protocol.max_gpu_temperature_delta_from_reference_c</x:t>
  </x:si>
  <x:si>
    <x:t xml:space="preserve">load_stabilization_protocol.require_ac_power</x:t>
  </x:si>
  <x:si>
    <x:t xml:space="preserve">load_stabilization_protocol.recorded_sample_limit</x:t>
  </x:si>
  <x:si>
    <x:t xml:space="preserve">load_stabilization_reference.cpu_utilization_percent</x:t>
  </x:si>
  <x:si>
    <x:t xml:space="preserve">load_stabilization_reference.gpu_utilization_percent</x:t>
  </x:si>
  <x:si>
    <x:t xml:space="preserve">load_stabilization_reference.gpu_memory_utilization_percent</x:t>
  </x:si>
  <x:si>
    <x:t xml:space="preserve">load_stabilization_reference.gpu_temperature_c</x:t>
  </x:si>
  <x:si>
    <x:t xml:space="preserve">load_stabilization_reference.gpu_power_draw_w</x:t>
  </x:si>
  <x:si>
    <x:t xml:space="preserve">load_stabilization_reference.gpu_sm_clock_mhz</x:t>
  </x:si>
  <x:si>
    <x:t xml:space="preserve">load_stabilization_reference.gpu_memory_clock_mhz</x:t>
  </x:si>
  <x:si>
    <x:t xml:space="preserve">RF-DETR 경량화 2차 평가 통합 보고서</x:t>
  </x:si>
  <x:si>
    <x:t xml:space="preserve">엔진 생성부터 고정 test 정확도, 3회 반복 latency, 자원 사용량, 정확도 보존 gate와 Pareto 결과까지 한 파일에서 추적합니다.</x:t>
  </x:si>
  <x:si>
    <x:t xml:space="preserve">1차 전체 후보</x:t>
  </x:si>
  <x:si>
    <x:t xml:space="preserve">2차 평가 대상</x:t>
  </x:si>
  <x:si>
    <x:t xml:space="preserve">2차 완료</x:t>
  </x:si>
  <x:si>
    <x:t xml:space="preserve">2차 실패</x:t>
  </x:si>
  <x:si>
    <x:t xml:space="preserve">대기</x:t>
  </x:si>
  <x:si>
    <x:t xml:space="preserve">정확도 Gate 통과</x:t>
  </x:si>
  <x:si>
    <x:t xml:space="preserve">30 FPS 배포 후보</x:t>
  </x:si>
  <x:si>
    <x:t xml:space="preserve">판정 원칙</x:t>
  </x:si>
  <x:si>
    <x:t xml:space="preserve">파일 내 시트</x:t>
  </x:si>
  <x:si>
    <x:t xml:space="preserve">1) 1차 정적평가 통과 후보 22개를 모두 실측합니다.
2) 엔진 생성 실패도 terminal 결과로 보존합니다.
3) 정확도는 고정 test 437장, 속도는 동일 32장 × 200회 × 3반복입니다.
4) B01 대비 정확도 보존 gate를 통과한 유효 측정만 Pareto에 투입합니다.
5) 주 Pareto는 Mask AP 최대화, median latency·engine 크기 최소화의 3축입니다.
   BBox AP, mIoU, P95와 GPU memory는 보조지표로 함께 보고합니다.
6) Pareto 중 median latency 33.33 ms 이하만 30 FPS 배포 후보로 표시합니다.
7) P95가 33.33 ms를 넘으면 경고하되 탈락 조건으로 사용하지 않습니다.
8) 반복 median CV가 5%를 넘으면 지연시간 3회를 한 번 다시 측정합니다.
   재측정 후에도 초과하면 Pareto에는 보존하고 최종 권장에서는 제외합니다.</x:t>
  </x:si>
  <x:si>
    <x:t xml:space="preserve">분석결과</x:t>
  </x:si>
  <x:si>
    <x:t xml:space="preserve">논문용 비교와 B01 대비 변화·gate·Pareto</x:t>
  </x:si>
  <x:si>
    <x:t xml:space="preserve">원시결과</x:t>
  </x:si>
  <x:si>
    <x:t xml:space="preserve">1차/2차 후보 원시 집계값</x:t>
  </x:si>
  <x:si>
    <x:t xml:space="preserve">클래스별 정확도</x:t>
  </x:si>
  <x:si>
    <x:t xml:space="preserve">클래스별 bbox/mask AP·AR와 semantic IoU</x:t>
  </x:si>
  <x:si>
    <x:t xml:space="preserve">반복측정</x:t>
  </x:si>
  <x:si>
    <x:t xml:space="preserve">반복별 latency와 환경 추적값</x:t>
  </x:si>
  <x:si>
    <x:t xml:space="preserve">실패·제외</x:t>
  </x:si>
  <x:si>
    <x:t xml:space="preserve">정적 불통·엔진 실패·gate 제외 사유</x:t>
  </x:si>
  <x:si>
    <x:t xml:space="preserve">평가기준</x:t>
  </x:si>
  <x:si>
    <x:t xml:space="preserve">고정 지표·threshold·판정 규칙</x:t>
  </x:si>
  <x:si>
    <x:t xml:space="preserve">실험환경</x:t>
  </x:si>
  <x:si>
    <x:t xml:space="preserve">GPU/CUDA/TensorRT/Python/checksum 기록</x:t>
  </x:si>
</x:sst>
</file>

<file path=xl/styles.xml><?xml version="1.0" encoding="utf-8"?>
<x:styleSheet xmlns:x="http://schemas.openxmlformats.org/spreadsheetml/2006/main">
  <x:numFmts count="5">
    <x:numFmt numFmtId="164" formatCode="0.0000"/>
    <x:numFmt numFmtId="165" formatCode="0.000"/>
    <x:numFmt numFmtId="166" formatCode="+0.000;-0.000;0.000"/>
    <x:numFmt numFmtId="167" formatCode="0.0%"/>
    <x:numFmt numFmtId="168" formatCode="0.0"/>
  </x:numFmts>
  <x:fonts count="8">
    <x:font>
      <x:sz val="11"/>
      <x:color theme="1"/>
      <x:name val="Calibri"/>
    </x:font>
    <x:font>
      <x:b/>
      <x:sz val="11"/>
      <x:color rgb="FFFFFFFF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sz val="10"/>
      <x:color rgb="FF5B6573"/>
      <x:name val="Calibri"/>
    </x:font>
    <x:font>
      <x:b/>
      <x:sz val="11"/>
      <x:color rgb="FF44546A"/>
      <x:name val="Calibri"/>
    </x:font>
    <x:font>
      <x:b/>
      <x:sz val="16"/>
      <x:color rgb="FF17365D"/>
      <x:name val="Calibri"/>
    </x:font>
    <x:font>
      <x:sz val="11"/>
      <x:color theme="10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2">
    <x:xf numFmtId="0" fontId="0" fillId="0" borderId="0"/>
    <x:xf numFmtId="0" fontId="7" fillId="0" borderId="0" applyNumberFormat="0" applyFill="0" applyBorder="0" applyAlignment="0" applyProtection="0">
      <x:alignment vertical="top"/>
      <x:protection locked="0"/>
    </x:xf>
  </x:cellStyleXfs>
  <x:cellXfs count="14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2" fillId="3" borderId="0" xfId="0" applyFont="1" applyFill="1"/>
    <x:xf numFmtId="164" fontId="0" fillId="0" borderId="0" xfId="0" applyNumberFormat="1"/>
    <x:xf numFmtId="165" fontId="0" fillId="0" borderId="0" xfId="0" applyNumberFormat="1"/>
    <x:xf numFmtId="0" fontId="0" fillId="0" borderId="0" xfId="0" applyAlignment="1">
      <x:alignment vertical="top" wrapText="1"/>
    </x:xf>
    <x:xf numFmtId="166" fontId="0" fillId="0" borderId="0" xfId="0" applyNumberFormat="1"/>
    <x:xf numFmtId="167" fontId="0" fillId="0" borderId="0" xfId="0" applyNumberFormat="1"/>
    <x:xf numFmtId="168" fontId="0" fillId="0" borderId="0" xfId="0" applyNumberFormat="1"/>
    <x:xf numFmtId="0" fontId="3" fillId="2" borderId="0" xfId="0" applyFont="1" applyFill="1" applyAlignment="1">
      <x:alignment horizontal="left" vertical="center"/>
    </x:xf>
    <x:xf numFmtId="0" fontId="4" fillId="0" borderId="0" xfId="0" applyFont="1" applyAlignment="1">
      <x:alignment wrapText="1"/>
    </x:xf>
    <x:xf numFmtId="0" fontId="5" fillId="4" borderId="2" xfId="0" applyFont="1" applyFill="1" applyBorder="1" applyAlignment="1">
      <x:alignment horizontal="center"/>
    </x:xf>
    <x:xf numFmtId="0" fontId="6" fillId="0" borderId="2" xfId="0" applyFont="1" applyBorder="1" applyAlignment="1">
      <x:alignment horizontal="center"/>
    </x:xf>
    <x:xf numFmtId="0" fontId="7" fillId="0" borderId="0" xfId="1" applyAlignment="1"/>
  </x:cellXfs>
  <x:cellStyles count="2">
    <x:cellStyle name="Hyperlink" xfId="1"/>
    <x:cellStyle name="Normal" xfId="0"/>
  </x:cellStyles>
  <x:dxfs count="4"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b0375d633d4bbe" /><Relationship Type="http://schemas.openxmlformats.org/officeDocument/2006/relationships/theme" Target="/xl/theme/theme1.xml" Id="R246ba59c5d28433f" /><Relationship Type="http://schemas.openxmlformats.org/officeDocument/2006/relationships/sharedStrings" Target="/xl/sharedStrings.xml" Id="R51a25470d18b4bde" /><Relationship Type="http://schemas.openxmlformats.org/officeDocument/2006/relationships/worksheet" Target="/xl/worksheets/sheet1.xml" Id="Rdb4da9c9878d49bf" /><Relationship Type="http://schemas.openxmlformats.org/officeDocument/2006/relationships/worksheet" Target="/xl/worksheets/sheet2.xml" Id="R5dc3ad077ae24a42" /><Relationship Type="http://schemas.openxmlformats.org/officeDocument/2006/relationships/worksheet" Target="/xl/worksheets/sheet3.xml" Id="R7b6f902279db457f" /><Relationship Type="http://schemas.openxmlformats.org/officeDocument/2006/relationships/worksheet" Target="/xl/worksheets/sheet4.xml" Id="R10801d1bd09147e3" /><Relationship Type="http://schemas.openxmlformats.org/officeDocument/2006/relationships/worksheet" Target="/xl/worksheets/sheet5.xml" Id="R682a8e34b63d453d" /><Relationship Type="http://schemas.openxmlformats.org/officeDocument/2006/relationships/worksheet" Target="/xl/worksheets/sheet6.xml" Id="Rcd0394ae6d9a4b7f" /><Relationship Type="http://schemas.openxmlformats.org/officeDocument/2006/relationships/worksheet" Target="/xl/worksheets/sheet7.xml" Id="R644ef7175aae4531" /><Relationship Type="http://schemas.openxmlformats.org/officeDocument/2006/relationships/worksheet" Target="/xl/worksheets/sheet8.xml" Id="R3b9e5f58bee3440b" /><Relationship Type="http://schemas.openxmlformats.org/officeDocument/2006/relationships/worksheet" Target="/xl/worksheets/sheet9.xml" Id="R6ed7f682b1ee4f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daa00634c74bba" /><Relationship Type="http://schemas.openxmlformats.org/officeDocument/2006/relationships/chart" Target="/xl/drawings/charts/chart2.xml" Id="R197e03f33c2a45b7" /></Relationships>
</file>

<file path=xl/drawings/charts/chart1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정확도–지연시간 절충</a:t>
            </a:r>
          </a:p>
        </c:rich>
      </c:tx>
    </c:title>
    <c:plotArea>
      <c:scatterChart>
        <c:scatterStyle val="lineMarker"/>
        <c:ser>
          <c:idx val="0"/>
          <c:order val="0"/>
          <c:tx>
            <c:v>Mask AP vs Median latency</c:v>
          </c:tx>
          <c:spPr>
            <a:ln xmlns:a="http://schemas.openxmlformats.org/drawingml/2006/main">
              <a:noFill/>
            </a:ln>
          </c:spPr>
          <c:marker>
            <c:symbol val="circle"/>
            <c:size val="6"/>
            <c:spPr>
              <a:solidFill xmlns:a="http://schemas.openxmlformats.org/drawingml/2006/main">
                <a:srgbClr val="2F75B5"/>
              </a:solidFill>
              <a:ln xmlns:a="http://schemas.openxmlformats.org/drawingml/2006/main">
                <a:solidFill>
                  <a:srgbClr val="2F75B5"/>
                </a:solidFill>
              </a:ln>
            </c:spPr>
          </c:marker>
          <c:xVal>
            <c:numRef>
              <c:f>'_차트데이터'!$B$2:$B$22</c:f>
              <c:numCache>
                <c:formatCode>General</c:formatCode>
                <c:ptCount val="21"/>
                <c:pt idx="0">
                  <c:v>45.82025699710357</c:v>
                </c:pt>
                <c:pt idx="1">
                  <c:v>25.775210498977685</c:v>
                </c:pt>
                <c:pt idx="2">
                  <c:v>25.360001498484053</c:v>
                </c:pt>
                <c:pt idx="3">
                  <c:v>25.386515499121742</c:v>
                </c:pt>
                <c:pt idx="4">
                  <c:v>25.26247049900121</c:v>
                </c:pt>
                <c:pt idx="5">
                  <c:v>44.509862000268186</c:v>
                </c:pt>
                <c:pt idx="6">
                  <c:v>42.95711550003034</c:v>
                </c:pt>
                <c:pt idx="7">
                  <c:v>45.76865499984706</c:v>
                </c:pt>
                <c:pt idx="8">
                  <c:v>25.29960950050736</c:v>
                </c:pt>
                <c:pt idx="9">
                  <c:v>26.182795998465735</c:v>
                </c:pt>
                <c:pt idx="10">
                  <c:v>36.29605549576809</c:v>
                </c:pt>
                <c:pt idx="11">
                  <c:v>41.97326050052652</c:v>
                </c:pt>
                <c:pt idx="12">
                  <c:v>24.010295503103407</c:v>
                </c:pt>
                <c:pt idx="13">
                  <c:v>42.96294300002046</c:v>
                </c:pt>
                <c:pt idx="14">
                  <c:v>32.38640950439731</c:v>
                </c:pt>
                <c:pt idx="15">
                  <c:v>25.113971998507623</c:v>
                </c:pt>
                <c:pt idx="16">
                  <c:v>25.183493500662735</c:v>
                </c:pt>
                <c:pt idx="17">
                  <c:v>37.99387800245313</c:v>
                </c:pt>
                <c:pt idx="18">
                  <c:v>43.33256249810802</c:v>
                </c:pt>
                <c:pt idx="19">
                  <c:v>39.408903001458384</c:v>
                </c:pt>
                <c:pt idx="20">
                  <c:v>38.29855150252115</c:v>
                </c:pt>
              </c:numCache>
            </c:numRef>
          </c:xVal>
          <c:yVal>
            <c:numRef>
              <c:f>'_차트데이터'!$C$2:$C$22</c:f>
              <c:numCache>
                <c:formatCode>General</c:formatCode>
                <c:ptCount val="21"/>
                <c:pt idx="0">
                  <c:v>0.6026426958851505</c:v>
                </c:pt>
                <c:pt idx="1">
                  <c:v>0.6017216878776938</c:v>
                </c:pt>
                <c:pt idx="2">
                  <c:v>0.602749828431408</c:v>
                </c:pt>
                <c:pt idx="3">
                  <c:v>0.517988143310128</c:v>
                </c:pt>
                <c:pt idx="4">
                  <c:v>0.5148480302335408</c:v>
                </c:pt>
                <c:pt idx="5">
                  <c:v>0.6022300056180777</c:v>
                </c:pt>
                <c:pt idx="6">
                  <c:v>0.5850419797466627</c:v>
                </c:pt>
                <c:pt idx="7">
                  <c:v>0.5213500016890231</c:v>
                </c:pt>
                <c:pt idx="8">
                  <c:v>0.6029119261351803</c:v>
                </c:pt>
                <c:pt idx="9">
                  <c:v>0.6023425986945383</c:v>
                </c:pt>
                <c:pt idx="10">
                  <c:v>0.5939927335145</c:v>
                </c:pt>
                <c:pt idx="11">
                  <c:v>0.599605674186933</c:v>
                </c:pt>
                <c:pt idx="12">
                  <c:v>0.5941087991992697</c:v>
                </c:pt>
                <c:pt idx="13">
                  <c:v>0.5997268915175692</c:v>
                </c:pt>
                <c:pt idx="14">
                  <c:v>0.5865409277639649</c:v>
                </c:pt>
                <c:pt idx="15">
                  <c:v>0.47432176245291</c:v>
                </c:pt>
                <c:pt idx="16">
                  <c:v>0.48322281358260494</c:v>
                </c:pt>
                <c:pt idx="17">
                  <c:v>0.3702262102000943</c:v>
                </c:pt>
                <c:pt idx="18">
                  <c:v>0.5980977119052601</c:v>
                </c:pt>
                <c:pt idx="19">
                  <c:v>0.3540556583177658</c:v>
                </c:pt>
                <c:pt idx="20">
                  <c:v>0.3579247452931818</c:v>
                </c:pt>
              </c:numCache>
            </c:numRef>
          </c:yVal>
        </c:ser>
        <c:axId val="50010001"/>
        <c:axId val="50010002"/>
      </c:scatterChart>
      <c:valAx>
        <c:axId val="50010002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Mask AP</a:t>
                </a:r>
              </a:p>
            </c:rich>
          </c:tx>
        </c:title>
        <c:numFmt formatCode="0.000" sourceLinked="0"/>
        <c:majorTickMark val="none"/>
        <c:minorTickMark val="none"/>
        <c:tickLblPos val="nextTo"/>
        <c:crossAx val="50010001"/>
        <c:crosses val="autoZero"/>
        <c:crossBetween val="midCat"/>
      </c:valAx>
      <c:valAx>
        <c:axId val="50010001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Median latency (ms)</a:t>
                </a:r>
              </a:p>
            </c:rich>
          </c:tx>
        </c:title>
        <c:numFmt formatCode="General" sourceLinked="1"/>
        <c:majorTickMark val="none"/>
        <c:minorTickMark val="none"/>
        <c:tickLblPos val="nextTo"/>
        <c:crossAx val="50010002"/>
        <c:crosses val="autoZero"/>
        <c:crossBetween val="midCat"/>
      </c:valAx>
    </c:plotArea>
    <c:plotVisOnly val="1"/>
  </c:chart>
</c:chartSpace>
</file>

<file path=xl/drawings/charts/chart2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TensorRT 엔진 크기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Engine MiB</c:v>
          </c:tx>
          <c:spPr>
            <a:solidFill xmlns:a="http://schemas.openxmlformats.org/drawingml/2006/main">
              <a:srgbClr val="00A6A6"/>
            </a:solidFill>
            <a:ln xmlns:a="http://schemas.openxmlformats.org/drawingml/2006/main">
              <a:noFill/>
            </a:ln>
          </c:spPr>
          <c:cat>
            <c:strRef>
              <c:f>'_차트데이터'!$A$2:$A$22</c:f>
              <c:strCache>
                <c:ptCount val="21"/>
                <c:pt idx="0">
                  <c:v>B01</c:v>
                </c:pt>
                <c:pt idx="1">
                  <c:v>B02</c:v>
                </c:pt>
                <c:pt idx="2">
                  <c:v>B03</c:v>
                </c:pt>
                <c:pt idx="3">
                  <c:v>M01</c:v>
                </c:pt>
                <c:pt idx="4">
                  <c:v>M02</c:v>
                </c:pt>
                <c:pt idx="5">
                  <c:v>S01</c:v>
                </c:pt>
                <c:pt idx="6">
                  <c:v>S02</c:v>
                </c:pt>
                <c:pt idx="7">
                  <c:v>S04</c:v>
                </c:pt>
                <c:pt idx="8">
                  <c:v>C01</c:v>
                </c:pt>
                <c:pt idx="9">
                  <c:v>C02</c:v>
                </c:pt>
                <c:pt idx="10">
                  <c:v>C03</c:v>
                </c:pt>
                <c:pt idx="11">
                  <c:v>C04</c:v>
                </c:pt>
                <c:pt idx="12">
                  <c:v>R01</c:v>
                </c:pt>
                <c:pt idx="13">
                  <c:v>R02</c:v>
                </c:pt>
                <c:pt idx="14">
                  <c:v>R03</c:v>
                </c:pt>
                <c:pt idx="15">
                  <c:v>Q01</c:v>
                </c:pt>
                <c:pt idx="16">
                  <c:v>Q02</c:v>
                </c:pt>
                <c:pt idx="17">
                  <c:v>Q04</c:v>
                </c:pt>
                <c:pt idx="18">
                  <c:v>Q05</c:v>
                </c:pt>
                <c:pt idx="19">
                  <c:v>Q06</c:v>
                </c:pt>
                <c:pt idx="20">
                  <c:v>Q07</c:v>
                </c:pt>
              </c:strCache>
            </c:strRef>
          </c:cat>
          <c:val>
            <c:numRef>
              <c:f>'_차트데이터'!$D$2:$D$22</c:f>
              <c:numCache>
                <c:formatCode>General</c:formatCode>
                <c:ptCount val="21"/>
                <c:pt idx="0">
                  <c:v>129.33994674682617</c:v>
                </c:pt>
                <c:pt idx="1">
                  <c:v>67.94259262084961</c:v>
                </c:pt>
                <c:pt idx="2">
                  <c:v>68.00632095336914</c:v>
                </c:pt>
                <c:pt idx="3">
                  <c:v>67.89997482299805</c:v>
                </c:pt>
                <c:pt idx="4">
                  <c:v>62.39285659790039</c:v>
                </c:pt>
                <c:pt idx="5">
                  <c:v>123.25446701049805</c:v>
                </c:pt>
                <c:pt idx="6">
                  <c:v>117.18737411499023</c:v>
                </c:pt>
                <c:pt idx="7">
                  <c:v>121.19233322143555</c:v>
                </c:pt>
                <c:pt idx="8">
                  <c:v>64.7291145324707</c:v>
                </c:pt>
                <c:pt idx="9">
                  <c:v>64.81132125854492</c:v>
                </c:pt>
                <c:pt idx="10">
                  <c:v>122.59409713745117</c:v>
                </c:pt>
                <c:pt idx="11">
                  <c:v>122.99455642700195</c:v>
                </c:pt>
                <c:pt idx="12">
                  <c:v>68.05361557006836</c:v>
                </c:pt>
                <c:pt idx="13">
                  <c:v>129.08879470825195</c:v>
                </c:pt>
                <c:pt idx="14">
                  <c:v>128.2463264465332</c:v>
                </c:pt>
                <c:pt idx="15">
                  <c:v>47.81473159790039</c:v>
                </c:pt>
                <c:pt idx="16">
                  <c:v>43.38985061645508</c:v>
                </c:pt>
                <c:pt idx="17">
                  <c:v>48.07638931274414</c:v>
                </c:pt>
                <c:pt idx="18">
                  <c:v>111.8322868347168</c:v>
                </c:pt>
                <c:pt idx="19">
                  <c:v>64.76676559448242</c:v>
                </c:pt>
                <c:pt idx="20">
                  <c:v>52.98740005493164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50020002"/>
        <c:crosses val="autoZero"/>
        <c:lblOffset val="100"/>
      </c:catAx>
      <c:valAx>
        <c:axId val="50020002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E7E6E6"/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MiB</a:t>
                </a:r>
              </a:p>
            </c:rich>
          </c:tx>
        </c:title>
        <c:numFmt formatCode="General" sourceLinked="1"/>
        <c:majorTickMark val="none"/>
        <c:minorTickMark val="none"/>
        <c:tickLblPos val="nextTo"/>
        <c:crossAx val="50020001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18</xdr:row>
      <xdr:rowOff>0</xdr:rowOff>
    </xdr:from>
    <xdr:to>
      <xdr:col>5</xdr:col>
      <xdr:colOff>800100</xdr:colOff>
      <xdr:row>33</xdr:row>
      <xdr:rowOff>161925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daa00634c74bba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15</xdr:col>
      <xdr:colOff>352425</xdr:colOff>
      <xdr:row>33</xdr:row>
      <xdr:rowOff>161925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7e03f33c2a45b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aluationProtocol" displayName="EvaluationProtocol" ref="A1:C18" totalsRowShown="0">
  <x:autoFilter ref="A1:C18"/>
  <x:tableColumns count="3">
    <x:tableColumn id="1" name="항목"/>
    <x:tableColumn id="2" name="고정값"/>
    <x:tableColumn id="3" name="해석·재현 규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wCandidateResults" displayName="RawCandidateResults" ref="A1:AY27" totalsRowShown="0">
  <x:autoFilter ref="A1:AY27"/>
  <x:tableColumns count="51">
    <x:tableColumn id="1" name="ID"/>
    <x:tableColumn id="2" name="경량화 계열"/>
    <x:tableColumn id="3" name="방식"/>
    <x:tableColumn id="4" name="정밀도"/>
    <x:tableColumn id="5" name="입력크기"/>
    <x:tableColumn id="6" name="1차 판정"/>
    <x:tableColumn id="7" name="1차 불통 사유"/>
    <x:tableColumn id="8" name="2차 상태"/>
    <x:tableColumn id="9" name="2차 실패 사유"/>
    <x:tableColumn id="10" name="BBox AP"/>
    <x:tableColumn id="11" name="BBox AP50"/>
    <x:tableColumn id="12" name="BBox AP75"/>
    <x:tableColumn id="13" name="BBox AP-small"/>
    <x:tableColumn id="14" name="BBox AP-medium"/>
    <x:tableColumn id="15" name="BBox AP-large"/>
    <x:tableColumn id="16" name="BBox AR100"/>
    <x:tableColumn id="17" name="Mask AP"/>
    <x:tableColumn id="18" name="Mask AP50"/>
    <x:tableColumn id="19" name="Mask AP75"/>
    <x:tableColumn id="20" name="Mask AP-small"/>
    <x:tableColumn id="21" name="Mask AP-medium"/>
    <x:tableColumn id="22" name="Mask AP-large"/>
    <x:tableColumn id="23" name="Mask AR100"/>
    <x:tableColumn id="24" name="Semantic mIoU"/>
    <x:tableColumn id="25" name="Mean ms"/>
    <x:tableColumn id="26" name="Median ms"/>
    <x:tableColumn id="27" name="P95 ms"/>
    <x:tableColumn id="28" name="P99 ms"/>
    <x:tableColumn id="29" name="IQR ms"/>
    <x:tableColumn id="30" name="전체 CV"/>
    <x:tableColumn id="31" name="반복 Median CV"/>
    <x:tableColumn id="32" name="반복 Median CI95 하한"/>
    <x:tableColumn id="33" name="반복 Median CI95 상한"/>
    <x:tableColumn id="34" name="FPS"/>
    <x:tableColumn id="35" name="GPU allocated bytes"/>
    <x:tableColumn id="36" name="GPU reserved bytes"/>
    <x:tableColumn id="37" name="Engine bytes"/>
    <x:tableColumn id="38" name="측정 반복 수"/>
    <x:tableColumn id="39" name="총 latency 횟수"/>
    <x:tableColumn id="40" name="Engine 경로"/>
    <x:tableColumn id="41" name="평가 JSON"/>
    <x:tableColumn id="42" name="Benchmark JSON 목록"/>
    <x:tableColumn id="43" name="Test 이미지 수"/>
    <x:tableColumn id="44" name="예측 수"/>
    <x:tableColumn id="45" name="Engine SHA256"/>
    <x:tableColumn id="46" name="Annotation SHA256"/>
    <x:tableColumn id="47" name="전체 Benchmark JSON 목록"/>
    <x:tableColumn id="48" name="CV 재측정 수행"/>
    <x:tableColumn id="49" name="CV 재측정 횟수"/>
    <x:tableColumn id="50" name="CV 불안정 미해결"/>
    <x:tableColumn id="51" name="Latency 측정 라운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nalyzedCandidateResults" displayName="AnalyzedCandidateResults" ref="A1:AI23" totalsRowShown="0">
  <x:autoFilter ref="A1:AI23"/>
  <x:tableColumns count="35">
    <x:tableColumn id="1" name="ID"/>
    <x:tableColumn id="2" name="계열"/>
    <x:tableColumn id="3" name="경량화 방식"/>
    <x:tableColumn id="4" name="정밀도"/>
    <x:tableColumn id="5" name="2차 상태"/>
    <x:tableColumn id="6" name="BBox AP"/>
    <x:tableColumn id="7" name="Mask AP"/>
    <x:tableColumn id="8" name="Semantic mIoU"/>
    <x:tableColumn id="9" name="BBox Δ vs B01"/>
    <x:tableColumn id="10" name="Mask Δ vs B01"/>
    <x:tableColumn id="11" name="mIoU Δ vs B01"/>
    <x:tableColumn id="12" name="Median ms"/>
    <x:tableColumn id="13" name="P95 ms"/>
    <x:tableColumn id="14" name="P99 ms"/>
    <x:tableColumn id="15" name="FPS"/>
    <x:tableColumn id="16" name="반복 Median CV"/>
    <x:tableColumn id="17" name="CI95 하한 ms"/>
    <x:tableColumn id="18" name="CI95 상한 ms"/>
    <x:tableColumn id="19" name="GPU allocated MiB"/>
    <x:tableColumn id="20" name="Engine MiB"/>
    <x:tableColumn id="21" name="Latency 감소율"/>
    <x:tableColumn id="22" name="Speedup"/>
    <x:tableColumn id="23" name="Memory 감소율"/>
    <x:tableColumn id="24" name="Engine 감소율"/>
    <x:tableColumn id="25" name="측정 유효"/>
    <x:tableColumn id="26" name="정확도 Gate"/>
    <x:tableColumn id="27" name="Pareto 대상"/>
    <x:tableColumn id="28" name="Pareto 최적"/>
    <x:tableColumn id="29" name="CV 재측정 경고"/>
    <x:tableColumn id="30" name="P95 예산 초과 경고"/>
    <x:tableColumn id="31" name="제외 사유"/>
    <x:tableColumn id="32" name="30 FPS 적합"/>
    <x:tableColumn id="33" name="최종 배포 후보"/>
    <x:tableColumn id="34" name="CV 재측정 수행"/>
    <x:tableColumn id="35" name="CV 불안정 미해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ailuresAndExclusions" displayName="FailuresAndExclusions" ref="A1:E22" totalsRowShown="0">
  <x:autoFilter ref="A1:E22"/>
  <x:tableColumns count="5">
    <x:tableColumn id="1" name="ID"/>
    <x:tableColumn id="2" name="단계"/>
    <x:tableColumn id="3" name="상태"/>
    <x:tableColumn id="4" name="불통·제외 사유"/>
    <x:tableColumn id="5" name="후속 조치"/>
  </x:tableColumns>
  <x:tableStyleInfo name="TableStyleMedium3" showFirstColumn="0" showLastColumn="0" showRowStripes="1" showColumnStripes="0"/>
</x:table>
</file>

<file path=xl/tables/table5.xml><?xml version="1.0" encoding="utf-8"?>
<x:table xmlns:x="http://schemas.openxmlformats.org/spreadsheetml/2006/main" id="5" name="PerClassAccuracy" displayName="PerClassAccuracy" ref="A1:L85" totalsRowShown="0">
  <x:autoFilter ref="A1:L85"/>
  <x:tableColumns count="12">
    <x:tableColumn id="1" name="ID"/>
    <x:tableColumn id="2" name="Class ID"/>
    <x:tableColumn id="3" name="Class"/>
    <x:tableColumn id="4" name="BBox AP"/>
    <x:tableColumn id="5" name="BBox AP50"/>
    <x:tableColumn id="6" name="BBox AP75"/>
    <x:tableColumn id="7" name="BBox AR100"/>
    <x:tableColumn id="8" name="Mask AP"/>
    <x:tableColumn id="9" name="Mask AP50"/>
    <x:tableColumn id="10" name="Mask AP75"/>
    <x:tableColumn id="11" name="Mask AR100"/>
    <x:tableColumn id="12" name="Semantic IoU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atencyRepetitions" displayName="LatencyRepetitions" ref="A1:S64" totalsRowShown="0">
  <x:autoFilter ref="A1:S64"/>
  <x:tableColumns count="19">
    <x:tableColumn id="1" name="ID"/>
    <x:tableColumn id="2" name="전체 반복"/>
    <x:tableColumn id="3" name="측정 라운드"/>
    <x:tableColumn id="4" name="라운드 내 반복"/>
    <x:tableColumn id="5" name="공식 결과"/>
    <x:tableColumn id="6" name="표본 이미지"/>
    <x:tableColumn id="7" name="Warm-up"/>
    <x:tableColumn id="8" name="측정 횟수"/>
    <x:tableColumn id="9" name="Mean ms"/>
    <x:tableColumn id="10" name="Median ms"/>
    <x:tableColumn id="11" name="P95 ms"/>
    <x:tableColumn id="12" name="P99 ms"/>
    <x:tableColumn id="13" name="IQR ms"/>
    <x:tableColumn id="14" name="CV"/>
    <x:tableColumn id="15" name="FPS"/>
    <x:tableColumn id="16" name="GPU allocated bytes"/>
    <x:tableColumn id="17" name="GPU reserved bytes"/>
    <x:tableColumn id="18" name="Engine SHA256"/>
    <x:tableColumn id="19" name="고정 이미지 목록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xperimentEnvironment" displayName="ExperimentEnvironment" ref="A1:B77" totalsRowShown="0">
  <x:autoFilter ref="A1:B77"/>
  <x:tableColumns count="2">
    <x:tableColumn id="1" name="환경 항목"/>
    <x:tableColumn id="2" name="기록값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8e32bfc7e2466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a5dc0ab64a547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bb4b87594fb46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7ce787a81404a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8aa7b47af1a4b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dc8f8907f81412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4c653170e734c3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059e2a49362842b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6.7109375" customWidth="1"/>
    <x:col min="2" max="2" width="24.7109375" customWidth="1"/>
    <x:col min="3" max="3" width="72.7109375" customWidth="1"/>
  </x:cols>
  <x:sheetData>
    <x:row r="1" s="1" customFormat="1" ht="34" customHeight="1">
      <x:c r="A1" s="1" t="s">
        <x:v>0</x:v>
      </x:c>
      <x:c r="B1" s="1" t="s">
        <x:v>1</x:v>
      </x:c>
      <x:c r="C1" s="1" t="s">
        <x:v>2</x:v>
      </x:c>
    </x:row>
    <x:row r="2">
      <x:c r="A2" t="s">
        <x:v>3</x:v>
      </x:c>
      <x:c r="B2" t="s">
        <x:v>4</x:v>
      </x:c>
      <x:c r="C2" t="s">
        <x:v>5</x:v>
      </x:c>
    </x:row>
    <x:row r="3">
      <x:c r="A3" t="s">
        <x:v>6</x:v>
      </x:c>
      <x:c r="B3">
        <x:v>437</x:v>
      </x:c>
      <x:c r="C3" t="s">
        <x:v>7</x:v>
      </x:c>
    </x:row>
    <x:row r="4">
      <x:c r="A4" t="s">
        <x:v>8</x:v>
      </x:c>
      <x:c r="B4">
        <x:v>0.001</x:v>
      </x:c>
      <x:c r="C4" t="s">
        <x:v>9</x:v>
      </x:c>
    </x:row>
    <x:row r="5">
      <x:c r="A5" t="s">
        <x:v>10</x:v>
      </x:c>
      <x:c r="B5">
        <x:v>0.25</x:v>
      </x:c>
      <x:c r="C5" t="s">
        <x:v>11</x:v>
      </x:c>
    </x:row>
    <x:row r="6">
      <x:c r="A6" t="s">
        <x:v>12</x:v>
      </x:c>
      <x:c r="B6">
        <x:v>32</x:v>
      </x:c>
      <x:c r="C6" t="s">
        <x:v>13</x:v>
      </x:c>
    </x:row>
    <x:row r="7">
      <x:c r="A7" t="s">
        <x:v>14</x:v>
      </x:c>
      <x:c r="B7" t="s">
        <x:v>15</x:v>
      </x:c>
      <x:c r="C7" t="s">
        <x:v>16</x:v>
      </x:c>
    </x:row>
    <x:row r="8">
      <x:c r="A8" t="s">
        <x:v>17</x:v>
      </x:c>
      <x:c r="B8">
        <x:v>3</x:v>
      </x:c>
      <x:c r="C8" t="s">
        <x:v>18</x:v>
      </x:c>
    </x:row>
    <x:row r="9">
      <x:c r="A9" t="s">
        <x:v>19</x:v>
      </x:c>
      <x:c r="B9">
        <x:v>0.05</x:v>
      </x:c>
      <x:c r="C9" t="s">
        <x:v>20</x:v>
      </x:c>
    </x:row>
    <x:row r="10">
      <x:c r="A10" t="s">
        <x:v>21</x:v>
      </x:c>
      <x:c r="B10">
        <x:v>0.01</x:v>
      </x:c>
      <x:c r="C10" t="s">
        <x:v>22</x:v>
      </x:c>
    </x:row>
    <x:row r="11">
      <x:c r="A11" t="s">
        <x:v>23</x:v>
      </x:c>
      <x:c r="B11">
        <x:v>0.01</x:v>
      </x:c>
      <x:c r="C11" t="s">
        <x:v>22</x:v>
      </x:c>
    </x:row>
    <x:row r="12">
      <x:c r="A12" t="s">
        <x:v>24</x:v>
      </x:c>
      <x:c r="B12">
        <x:v>0.02</x:v>
      </x:c>
      <x:c r="C12" t="s">
        <x:v>22</x:v>
      </x:c>
    </x:row>
    <x:row r="13">
      <x:c r="A13" t="s">
        <x:v>25</x:v>
      </x:c>
      <x:c r="B13">
        <x:v>30</x:v>
      </x:c>
      <x:c r="C13" t="s">
        <x:v>26</x:v>
      </x:c>
    </x:row>
    <x:row r="14">
      <x:c r="A14" t="s">
        <x:v>27</x:v>
      </x:c>
      <x:c r="B14">
        <x:v>33.33333333333334</x:v>
      </x:c>
      <x:c r="C14" t="s">
        <x:v>28</x:v>
      </x:c>
    </x:row>
    <x:row r="15">
      <x:c r="A15" t="s">
        <x:v>29</x:v>
      </x:c>
      <x:c r="B15" t="s">
        <x:v>30</x:v>
      </x:c>
      <x:c r="C15" t="s">
        <x:v>31</x:v>
      </x:c>
    </x:row>
    <x:row r="16">
      <x:c r="A16" t="s">
        <x:v>32</x:v>
      </x:c>
      <x:c r="B16" t="s">
        <x:v>33</x:v>
      </x:c>
      <x:c r="C16" t="s">
        <x:v>34</x:v>
      </x:c>
    </x:row>
    <x:row r="17">
      <x:c r="A17" t="s">
        <x:v>35</x:v>
      </x:c>
      <x:c r="B17" t="s">
        <x:v>36</x:v>
      </x:c>
      <x:c r="C17" t="s">
        <x:v>37</x:v>
      </x:c>
    </x:row>
    <x:row r="18">
      <x:c r="A18" t="s">
        <x:v>38</x:v>
      </x:c>
      <x:c r="B18" t="s">
        <x:v>39</x:v>
      </x:c>
      <x:c r="C18" t="s">
        <x:v>40</x:v>
      </x:c>
    </x:row>
    <x:row r="20">
      <x:c r="A20" s="2" t="s">
        <x:v>41</x:v>
      </x:c>
    </x:row>
    <x:row r="21">
      <x:c r="A21" s="1" t="s">
        <x:v>42</x:v>
      </x:c>
      <x:c r="B21" s="1" t="s">
        <x:v>43</x:v>
      </x:c>
    </x:row>
    <x:row r="22">
      <x:c r="A22" t="s">
        <x:v>44</x:v>
      </x:c>
      <x:c r="B22" t="s">
        <x:v>45</x:v>
      </x:c>
    </x:row>
    <x:row r="23">
      <x:c r="A23" t="s">
        <x:v>46</x:v>
      </x:c>
      <x:c r="B23" t="s">
        <x:v>47</x:v>
      </x:c>
    </x:row>
    <x:row r="24">
      <x:c r="A24" t="s">
        <x:v>48</x:v>
      </x:c>
      <x:c r="B24" t="s">
        <x:v>49</x:v>
      </x:c>
    </x:row>
    <x:row r="25">
      <x:c r="A25" t="s">
        <x:v>50</x:v>
      </x:c>
      <x:c r="B25" t="s">
        <x:v>51</x:v>
      </x:c>
    </x:row>
    <x:row r="26">
      <x:c r="A26" t="s">
        <x:v>52</x:v>
      </x:c>
      <x:c r="B26" t="s">
        <x:v>53</x:v>
      </x:c>
    </x:row>
    <x:row r="27">
      <x:c r="A27" t="s">
        <x:v>54</x:v>
      </x:c>
      <x:c r="B27" t="s">
        <x:v>55</x:v>
      </x:c>
    </x:row>
    <x:row r="28">
      <x:c r="A28" t="s">
        <x:v>56</x:v>
      </x:c>
      <x:c r="B28" t="s">
        <x:v>57</x:v>
      </x:c>
    </x:row>
    <x:row r="29">
      <x:c r="A29" t="s">
        <x:v>58</x:v>
      </x:c>
      <x:c r="B29" t="s">
        <x:v>59</x:v>
      </x:c>
    </x:row>
  </x:sheetData>
  <x:pageMargins left="0.7" right="0.7" top="0.75" bottom="0.75" header="0.3" footer="0.3"/>
  <x:tableParts count="1">
    <x:tablePart xmlns:r="http://schemas.openxmlformats.org/officeDocument/2006/relationships" r:id="Rde8e32bfc7e2466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9.7109375" customWidth="1"/>
    <x:col min="2" max="2" width="16.7109375" customWidth="1"/>
    <x:col min="3" max="3" width="38.7109375" customWidth="1"/>
    <x:col min="4" max="8" width="14.7109375" customWidth="1"/>
    <x:col min="9" max="9" width="42.7109375" customWidth="1"/>
    <x:col min="10" max="24" width="13.7109375" style="3" customWidth="1"/>
    <x:col min="25" max="34" width="14.7109375" style="4" customWidth="1"/>
    <x:col min="35" max="37" width="18.7109375" customWidth="1"/>
    <x:col min="38" max="39" width="14.7109375" customWidth="1"/>
    <x:col min="40" max="42" width="46.7109375" customWidth="1"/>
    <x:col min="43" max="44" width="14.7109375" customWidth="1"/>
    <x:col min="45" max="47" width="66.7109375" customWidth="1"/>
    <x:col min="48" max="50" width="18.7109375" customWidth="1"/>
    <x:col min="51" max="51" width="80.7109375" style="5" customWidth="1"/>
  </x:cols>
  <x:sheetData>
    <x:row r="1" s="1" customFormat="1" ht="42" customHeight="1">
      <x:c r="A1" s="1" t="s">
        <x:v>60</x:v>
      </x:c>
      <x:c r="B1" s="1" t="s">
        <x:v>61</x:v>
      </x:c>
      <x:c r="C1" s="1" t="s">
        <x:v>62</x:v>
      </x:c>
      <x:c r="D1" s="1" t="s">
        <x:v>63</x:v>
      </x:c>
      <x:c r="E1" s="1" t="s">
        <x:v>64</x:v>
      </x:c>
      <x:c r="F1" s="1" t="s">
        <x:v>65</x:v>
      </x:c>
      <x:c r="G1" s="1" t="s">
        <x:v>66</x:v>
      </x:c>
      <x:c r="H1" s="1" t="s">
        <x:v>67</x:v>
      </x:c>
      <x:c r="I1" s="1" t="s">
        <x:v>68</x:v>
      </x:c>
      <x:c r="J1" s="1" t="s">
        <x:v>69</x:v>
      </x:c>
      <x:c r="K1" s="1" t="s">
        <x:v>70</x:v>
      </x:c>
      <x:c r="L1" s="1" t="s">
        <x:v>71</x:v>
      </x:c>
      <x:c r="M1" s="1" t="s">
        <x:v>72</x:v>
      </x:c>
      <x:c r="N1" s="1" t="s">
        <x:v>73</x:v>
      </x:c>
      <x:c r="O1" s="1" t="s">
        <x:v>74</x:v>
      </x:c>
      <x:c r="P1" s="1" t="s">
        <x:v>75</x:v>
      </x:c>
      <x:c r="Q1" s="1" t="s">
        <x:v>36</x:v>
      </x:c>
      <x:c r="R1" s="1" t="s">
        <x:v>76</x:v>
      </x:c>
      <x:c r="S1" s="1" t="s">
        <x:v>77</x:v>
      </x:c>
      <x:c r="T1" s="1" t="s">
        <x:v>78</x:v>
      </x:c>
      <x:c r="U1" s="1" t="s">
        <x:v>79</x:v>
      </x:c>
      <x:c r="V1" s="1" t="s">
        <x:v>80</x:v>
      </x:c>
      <x:c r="W1" s="1" t="s">
        <x:v>81</x:v>
      </x:c>
      <x:c r="X1" s="1" t="s">
        <x:v>52</x:v>
      </x:c>
      <x:c r="Y1" s="1" t="s">
        <x:v>82</x:v>
      </x:c>
      <x:c r="Z1" s="1" t="s">
        <x:v>83</x:v>
      </x:c>
      <x:c r="AA1" s="1" t="s">
        <x:v>84</x:v>
      </x:c>
      <x:c r="AB1" s="1" t="s">
        <x:v>85</x:v>
      </x:c>
      <x:c r="AC1" s="1" t="s">
        <x:v>86</x:v>
      </x:c>
      <x:c r="AD1" s="1" t="s">
        <x:v>87</x:v>
      </x:c>
      <x:c r="AE1" s="1" t="s">
        <x:v>88</x:v>
      </x:c>
      <x:c r="AF1" s="1" t="s">
        <x:v>89</x:v>
      </x:c>
      <x:c r="AG1" s="1" t="s">
        <x:v>90</x:v>
      </x:c>
      <x:c r="AH1" s="1" t="s">
        <x:v>91</x:v>
      </x:c>
      <x:c r="AI1" s="1" t="s">
        <x:v>92</x:v>
      </x:c>
      <x:c r="AJ1" s="1" t="s">
        <x:v>93</x:v>
      </x:c>
      <x:c r="AK1" s="1" t="s">
        <x:v>94</x:v>
      </x:c>
      <x:c r="AL1" s="1" t="s">
        <x:v>95</x:v>
      </x:c>
      <x:c r="AM1" s="1" t="s">
        <x:v>96</x:v>
      </x:c>
      <x:c r="AN1" s="1" t="s">
        <x:v>97</x:v>
      </x:c>
      <x:c r="AO1" s="1" t="s">
        <x:v>98</x:v>
      </x:c>
      <x:c r="AP1" s="1" t="s">
        <x:v>99</x:v>
      </x:c>
      <x:c r="AQ1" s="1" t="s">
        <x:v>100</x:v>
      </x:c>
      <x:c r="AR1" s="1" t="s">
        <x:v>101</x:v>
      </x:c>
      <x:c r="AS1" s="1" t="s">
        <x:v>102</x:v>
      </x:c>
      <x:c r="AT1" s="1" t="s">
        <x:v>103</x:v>
      </x:c>
      <x:c r="AU1" s="1" t="s">
        <x:v>104</x:v>
      </x:c>
      <x:c r="AV1" s="1" t="s">
        <x:v>105</x:v>
      </x:c>
      <x:c r="AW1" s="1" t="s">
        <x:v>106</x:v>
      </x:c>
      <x:c r="AX1" s="1" t="s">
        <x:v>107</x:v>
      </x:c>
      <x:c r="AY1" s="1" t="s">
        <x:v>108</x:v>
      </x:c>
    </x:row>
    <x:row r="2">
      <x:c r="A2" t="s">
        <x:v>109</x:v>
      </x:c>
      <x:c r="B2" t="s">
        <x:v>110</x:v>
      </x:c>
      <x:c r="C2" t="s">
        <x:v>111</x:v>
      </x:c>
      <x:c r="D2" t="s">
        <x:v>112</x:v>
      </x:c>
      <x:c r="E2" t="s">
        <x:v>113</x:v>
      </x:c>
      <x:c r="F2" t="s">
        <x:v>114</x:v>
      </x:c>
      <x:c r="H2" t="s">
        <x:v>115</x:v>
      </x:c>
      <x:c r="J2" s="3">
        <x:v>0.7378589271657685</x:v>
      </x:c>
      <x:c r="K2" s="3">
        <x:v>0.9268739559620214</x:v>
      </x:c>
      <x:c r="L2" s="3">
        <x:v>0.7921449439777805</x:v>
      </x:c>
      <x:c r="M2" s="3">
        <x:v>0.3108272172948915</x:v>
      </x:c>
      <x:c r="N2" s="3">
        <x:v>0.6103673048630374</x:v>
      </x:c>
      <x:c r="O2" s="3">
        <x:v>0.8415875264113254</x:v>
      </x:c>
      <x:c r="P2" s="3">
        <x:v>0.8793871239311294</x:v>
      </x:c>
      <x:c r="Q2" s="3">
        <x:v>0.6026426958851505</x:v>
      </x:c>
      <x:c r="R2" s="3">
        <x:v>0.8399217797660261</x:v>
      </x:c>
      <x:c r="S2" s="3">
        <x:v>0.6488118849989394</x:v>
      </x:c>
      <x:c r="T2" s="3">
        <x:v>0.05679280617727269</x:v>
      </x:c>
      <x:c r="U2" s="3">
        <x:v>0.4886611760369282</x:v>
      </x:c>
      <x:c r="V2" s="3">
        <x:v>0.7159652185775518</x:v>
      </x:c>
      <x:c r="W2" s="3">
        <x:v>0.729644128492741</x:v>
      </x:c>
      <x:c r="X2" s="3">
        <x:v>0.7120070817052193</x:v>
      </x:c>
      <x:c r="Y2" s="4">
        <x:v>46.02215876308037</x:v>
      </x:c>
      <x:c r="Z2" s="4">
        <x:v>45.82025699710357</x:v>
      </x:c>
      <x:c r="AA2" s="4">
        <x:v>48.56151670392137</x:v>
      </x:c>
      <x:c r="AB2" s="4">
        <x:v>49.34060668594611</x:v>
      </x:c>
      <x:c r="AC2" s="4">
        <x:v>1.607631247679819</x:v>
      </x:c>
      <x:c r="AD2" s="4">
        <x:v>0.02790992839181308</x:v>
      </x:c>
      <x:c r="AE2" s="4">
        <x:v>0.001230759025871806</x:v>
      </x:c>
      <x:c r="AF2" s="4">
        <x:v>45.66059531378848</x:v>
      </x:c>
      <x:c r="AG2" s="4">
        <x:v>45.94067735038021</x:v>
      </x:c>
      <x:c r="AH2" s="4">
        <x:v>21.72866347161042</x:v>
      </x:c>
      <x:c r="AI2">
        <x:v>941561856</x:v>
      </x:c>
      <x:c r="AJ2">
        <x:v>1000341504</x:v>
      </x:c>
      <x:c r="AK2">
        <x:v>135622764</x:v>
      </x:c>
      <x:c r="AL2">
        <x:v>3</x:v>
      </x:c>
      <x:c r="AM2">
        <x:v>600</x:v>
      </x:c>
      <x:c r="AN2" t="s">
        <x:v>116</x:v>
      </x:c>
      <x:c r="AO2" t="s">
        <x:v>117</x:v>
      </x:c>
      <x:c r="AP2" t="s">
        <x:v>118</x:v>
      </x:c>
      <x:c r="AQ2">
        <x:v>437</x:v>
      </x:c>
      <x:c r="AR2">
        <x:v>86415</x:v>
      </x:c>
      <x:c r="AS2" t="s">
        <x:v>119</x:v>
      </x:c>
      <x:c r="AT2" t="s">
        <x:v>120</x:v>
      </x:c>
      <x:c r="AU2" t="s">
        <x:v>118</x:v>
      </x:c>
      <x:c r="AV2" t="b">
        <x:v>0</x:v>
      </x:c>
      <x:c r="AW2">
        <x:v>0</x:v>
      </x:c>
      <x:c r="AX2" t="b">
        <x:v>0</x:v>
      </x:c>
      <x:c r="AY2" s="5" t="s">
        <x:v>121</x:v>
      </x:c>
    </x:row>
    <x:row r="3">
      <x:c r="A3" t="s">
        <x:v>122</x:v>
      </x:c>
      <x:c r="B3" t="s">
        <x:v>123</x:v>
      </x:c>
      <x:c r="C3" t="s">
        <x:v>124</x:v>
      </x:c>
      <x:c r="D3" t="s">
        <x:v>125</x:v>
      </x:c>
      <x:c r="E3" t="s">
        <x:v>113</x:v>
      </x:c>
      <x:c r="F3" t="s">
        <x:v>114</x:v>
      </x:c>
      <x:c r="H3" t="s">
        <x:v>115</x:v>
      </x:c>
      <x:c r="J3" s="3">
        <x:v>0.7415530084406021</x:v>
      </x:c>
      <x:c r="K3" s="3">
        <x:v>0.9275051218773379</x:v>
      </x:c>
      <x:c r="L3" s="3">
        <x:v>0.7930866276291076</x:v>
      </x:c>
      <x:c r="M3" s="3">
        <x:v>0.3139916431357683</x:v>
      </x:c>
      <x:c r="N3" s="3">
        <x:v>0.6360391797757647</x:v>
      </x:c>
      <x:c r="O3" s="3">
        <x:v>0.8468595654605359</x:v>
      </x:c>
      <x:c r="P3" s="3">
        <x:v>0.8803819874346566</x:v>
      </x:c>
      <x:c r="Q3" s="3">
        <x:v>0.6017216878776938</x:v>
      </x:c>
      <x:c r="R3" s="3">
        <x:v>0.8374940913575352</x:v>
      </x:c>
      <x:c r="S3" s="3">
        <x:v>0.648793643811385</x:v>
      </x:c>
      <x:c r="T3" s="3">
        <x:v>0.05334195308063992</x:v>
      </x:c>
      <x:c r="U3" s="3">
        <x:v>0.4868262687873972</x:v>
      </x:c>
      <x:c r="V3" s="3">
        <x:v>0.7146840996719729</x:v>
      </x:c>
      <x:c r="W3" s="3">
        <x:v>0.730692346522091</x:v>
      </x:c>
      <x:c r="X3" s="3">
        <x:v>0.7138475799724896</x:v>
      </x:c>
      <x:c r="Y3" s="4">
        <x:v>26.03973254671776</x:v>
      </x:c>
      <x:c r="Z3" s="4">
        <x:v>25.77521049897769</x:v>
      </x:c>
      <x:c r="AA3" s="4">
        <x:v>28.13015554893354</x:v>
      </x:c>
      <x:c r="AB3" s="4">
        <x:v>29.3213011570333</x:v>
      </x:c>
      <x:c r="AC3" s="4">
        <x:v>1.813791495806072</x:v>
      </x:c>
      <x:c r="AD3" s="4">
        <x:v>0.05122075683817659</x:v>
      </x:c>
      <x:c r="AE3" s="4">
        <x:v>0.02875807441561402</x:v>
      </x:c>
      <x:c r="AF3" s="4">
        <x:v>24.07314669636069</x:v>
      </x:c>
      <x:c r="AG3" s="4">
        <x:v>27.77761297286575</x:v>
      </x:c>
      <x:c r="AH3" s="4">
        <x:v>38.40285218774443</x:v>
      </x:c>
      <x:c r="AI3">
        <x:v>941561856</x:v>
      </x:c>
      <x:c r="AJ3">
        <x:v>1000341504</x:v>
      </x:c>
      <x:c r="AK3">
        <x:v>71242972</x:v>
      </x:c>
      <x:c r="AL3">
        <x:v>3</x:v>
      </x:c>
      <x:c r="AM3">
        <x:v>600</x:v>
      </x:c>
      <x:c r="AN3" t="s">
        <x:v>126</x:v>
      </x:c>
      <x:c r="AO3" t="s">
        <x:v>127</x:v>
      </x:c>
      <x:c r="AP3" t="s">
        <x:v>128</x:v>
      </x:c>
      <x:c r="AQ3">
        <x:v>437</x:v>
      </x:c>
      <x:c r="AR3">
        <x:v>86439</x:v>
      </x:c>
      <x:c r="AS3" t="s">
        <x:v>129</x:v>
      </x:c>
      <x:c r="AT3" t="s">
        <x:v>120</x:v>
      </x:c>
      <x:c r="AU3" t="s">
        <x:v>128</x:v>
      </x:c>
      <x:c r="AV3" t="b">
        <x:v>0</x:v>
      </x:c>
      <x:c r="AW3">
        <x:v>0</x:v>
      </x:c>
      <x:c r="AX3" t="b">
        <x:v>0</x:v>
      </x:c>
      <x:c r="AY3" s="5" t="s">
        <x:v>130</x:v>
      </x:c>
    </x:row>
    <x:row r="4">
      <x:c r="A4" t="s">
        <x:v>131</x:v>
      </x:c>
      <x:c r="B4" t="s">
        <x:v>123</x:v>
      </x:c>
      <x:c r="C4" t="s">
        <x:v>132</x:v>
      </x:c>
      <x:c r="D4" t="s">
        <x:v>133</x:v>
      </x:c>
      <x:c r="E4" t="s">
        <x:v>113</x:v>
      </x:c>
      <x:c r="F4" t="s">
        <x:v>114</x:v>
      </x:c>
      <x:c r="H4" t="s">
        <x:v>115</x:v>
      </x:c>
      <x:c r="J4" s="3">
        <x:v>0.7421901253864573</x:v>
      </x:c>
      <x:c r="K4" s="3">
        <x:v>0.9283440854106519</x:v>
      </x:c>
      <x:c r="L4" s="3">
        <x:v>0.7952832340439254</x:v>
      </x:c>
      <x:c r="M4" s="3">
        <x:v>0.3125476992483247</x:v>
      </x:c>
      <x:c r="N4" s="3">
        <x:v>0.6342850842923609</x:v>
      </x:c>
      <x:c r="O4" s="3">
        <x:v>0.8478497259422241</x:v>
      </x:c>
      <x:c r="P4" s="3">
        <x:v>0.8784045379137204</x:v>
      </x:c>
      <x:c r="Q4" s="3">
        <x:v>0.602749828431408</x:v>
      </x:c>
      <x:c r="R4" s="3">
        <x:v>0.8396094796758079</x:v>
      </x:c>
      <x:c r="S4" s="3">
        <x:v>0.6474215696365945</x:v>
      </x:c>
      <x:c r="T4" s="3">
        <x:v>0.05379373335353572</x:v>
      </x:c>
      <x:c r="U4" s="3">
        <x:v>0.4862388916525704</x:v>
      </x:c>
      <x:c r="V4" s="3">
        <x:v>0.7151903388283486</x:v>
      </x:c>
      <x:c r="W4" s="3">
        <x:v>0.7297329328771308</x:v>
      </x:c>
      <x:c r="X4" s="3">
        <x:v>0.712443682711115</x:v>
      </x:c>
      <x:c r="Y4" s="4">
        <x:v>25.69592826318209</x:v>
      </x:c>
      <x:c r="Z4" s="4">
        <x:v>25.36000149848405</x:v>
      </x:c>
      <x:c r="AA4" s="4">
        <x:v>27.90341525142139</x:v>
      </x:c>
      <x:c r="AB4" s="4">
        <x:v>29.42401655709545</x:v>
      </x:c>
      <x:c r="AC4" s="4">
        <x:v>1.667965001615812</x:v>
      </x:c>
      <x:c r="AD4" s="4">
        <x:v>0.04783266890661529</x:v>
      </x:c>
      <x:c r="AE4" s="4">
        <x:v>0.02264303164311767</x:v>
      </x:c>
      <x:c r="AF4" s="4">
        <x:v>24.03858758434517</x:v>
      </x:c>
      <x:c r="AG4" s="4">
        <x:v>26.90427374761145</x:v>
      </x:c>
      <x:c r="AH4" s="4">
        <x:v>38.91667153479839</x:v>
      </x:c>
      <x:c r="AI4">
        <x:v>941561856</x:v>
      </x:c>
      <x:c r="AJ4">
        <x:v>1000341504</x:v>
      </x:c>
      <x:c r="AK4">
        <x:v>71309796</x:v>
      </x:c>
      <x:c r="AL4">
        <x:v>3</x:v>
      </x:c>
      <x:c r="AM4">
        <x:v>600</x:v>
      </x:c>
      <x:c r="AN4" t="s">
        <x:v>134</x:v>
      </x:c>
      <x:c r="AO4" t="s">
        <x:v>135</x:v>
      </x:c>
      <x:c r="AP4" t="s">
        <x:v>136</x:v>
      </x:c>
      <x:c r="AQ4">
        <x:v>437</x:v>
      </x:c>
      <x:c r="AR4">
        <x:v>86420</x:v>
      </x:c>
      <x:c r="AS4" t="s">
        <x:v>137</x:v>
      </x:c>
      <x:c r="AT4" t="s">
        <x:v>120</x:v>
      </x:c>
      <x:c r="AU4" t="s">
        <x:v>136</x:v>
      </x:c>
      <x:c r="AV4" t="b">
        <x:v>0</x:v>
      </x:c>
      <x:c r="AW4">
        <x:v>0</x:v>
      </x:c>
      <x:c r="AX4" t="b">
        <x:v>0</x:v>
      </x:c>
      <x:c r="AY4" s="5" t="s">
        <x:v>138</x:v>
      </x:c>
    </x:row>
    <x:row r="5">
      <x:c r="A5" t="s">
        <x:v>139</x:v>
      </x:c>
      <x:c r="B5" t="s">
        <x:v>140</x:v>
      </x:c>
      <x:c r="C5" t="s">
        <x:v>141</x:v>
      </x:c>
      <x:c r="D5" t="s">
        <x:v>112</x:v>
      </x:c>
      <x:c r="E5" t="s">
        <x:v>113</x:v>
      </x:c>
      <x:c r="F5" t="s">
        <x:v>142</x:v>
      </x:c>
      <x:c r="G5" t="s">
        <x:v>143</x:v>
      </x:c>
      <x:c r="H5" t="str">
        <x:v>대상 외</x:v>
      </x:c>
      <x:c r="AV5" t="b">
        <x:v>0</x:v>
      </x:c>
      <x:c r="AW5">
        <x:v>0</x:v>
      </x:c>
      <x:c r="AX5" t="b">
        <x:v>0</x:v>
      </x:c>
    </x:row>
    <x:row r="6">
      <x:c r="A6" t="s">
        <x:v>144</x:v>
      </x:c>
      <x:c r="B6" t="s">
        <x:v>140</x:v>
      </x:c>
      <x:c r="C6" t="s">
        <x:v>141</x:v>
      </x:c>
      <x:c r="D6" t="s">
        <x:v>112</x:v>
      </x:c>
      <x:c r="E6" t="s">
        <x:v>113</x:v>
      </x:c>
      <x:c r="F6" t="s">
        <x:v>142</x:v>
      </x:c>
      <x:c r="G6" t="s">
        <x:v>143</x:v>
      </x:c>
      <x:c r="H6" t="str">
        <x:v>대상 외</x:v>
      </x:c>
      <x:c r="AV6" t="b">
        <x:v>0</x:v>
      </x:c>
      <x:c r="AW6">
        <x:v>0</x:v>
      </x:c>
      <x:c r="AX6" t="b">
        <x:v>0</x:v>
      </x:c>
    </x:row>
    <x:row r="7">
      <x:c r="A7" t="s">
        <x:v>145</x:v>
      </x:c>
      <x:c r="B7" t="s">
        <x:v>140</x:v>
      </x:c>
      <x:c r="C7" t="s">
        <x:v>141</x:v>
      </x:c>
      <x:c r="D7" t="s">
        <x:v>112</x:v>
      </x:c>
      <x:c r="E7" t="s">
        <x:v>113</x:v>
      </x:c>
      <x:c r="F7" t="s">
        <x:v>142</x:v>
      </x:c>
      <x:c r="G7" t="s">
        <x:v>143</x:v>
      </x:c>
      <x:c r="H7" t="str">
        <x:v>대상 외</x:v>
      </x:c>
      <x:c r="AV7" t="b">
        <x:v>0</x:v>
      </x:c>
      <x:c r="AW7">
        <x:v>0</x:v>
      </x:c>
      <x:c r="AX7" t="b">
        <x:v>0</x:v>
      </x:c>
    </x:row>
    <x:row r="8">
      <x:c r="A8" t="s">
        <x:v>146</x:v>
      </x:c>
      <x:c r="B8" t="s">
        <x:v>147</x:v>
      </x:c>
      <x:c r="C8" t="s">
        <x:v>148</x:v>
      </x:c>
      <x:c r="D8" t="s">
        <x:v>125</x:v>
      </x:c>
      <x:c r="E8" t="s">
        <x:v>113</x:v>
      </x:c>
      <x:c r="F8" t="s">
        <x:v>114</x:v>
      </x:c>
      <x:c r="H8" t="s">
        <x:v>115</x:v>
      </x:c>
      <x:c r="J8" s="3">
        <x:v>0.6345828690273081</x:v>
      </x:c>
      <x:c r="K8" s="3">
        <x:v>0.9066032122687276</x:v>
      </x:c>
      <x:c r="L8" s="3">
        <x:v>0.6978480344394071</x:v>
      </x:c>
      <x:c r="M8" s="3">
        <x:v>0.2240494740389379</x:v>
      </x:c>
      <x:c r="N8" s="3">
        <x:v>0.5768438833150134</x:v>
      </x:c>
      <x:c r="O8" s="3">
        <x:v>0.7365292069606161</x:v>
      </x:c>
      <x:c r="P8" s="3">
        <x:v>0.7877063098121311</x:v>
      </x:c>
      <x:c r="Q8" s="3">
        <x:v>0.517988143310128</x:v>
      </x:c>
      <x:c r="R8" s="3">
        <x:v>0.8030065832256142</x:v>
      </x:c>
      <x:c r="S8" s="3">
        <x:v>0.5591948804271022</x:v>
      </x:c>
      <x:c r="T8" s="3">
        <x:v>0.04313978915326772</x:v>
      </x:c>
      <x:c r="U8" s="3">
        <x:v>0.2944273394184036</x:v>
      </x:c>
      <x:c r="V8" s="3">
        <x:v>0.6398070949785498</x:v>
      </x:c>
      <x:c r="W8" s="3">
        <x:v>0.6773796443427956</x:v>
      </x:c>
      <x:c r="X8" s="3">
        <x:v>0.6826235848602537</x:v>
      </x:c>
      <x:c r="Y8" s="4">
        <x:v>25.63867021832266</x:v>
      </x:c>
      <x:c r="Z8" s="4">
        <x:v>25.38651549912174</x:v>
      </x:c>
      <x:c r="AA8" s="4">
        <x:v>27.63004189873755</x:v>
      </x:c>
      <x:c r="AB8" s="4">
        <x:v>28.27079090340703</x:v>
      </x:c>
      <x:c r="AC8" s="4">
        <x:v>1.279692001844523</x:v>
      </x:c>
      <x:c r="AD8" s="4">
        <x:v>0.03969823553594402</x:v>
      </x:c>
      <x:c r="AE8" s="4">
        <x:v>0.009584037272303062</x:v>
      </x:c>
      <x:c r="AF8" s="4">
        <x:v>24.79342111522205</x:v>
      </x:c>
      <x:c r="AG8" s="4">
        <x:v>26.00288054915505</x:v>
      </x:c>
      <x:c r="AH8" s="4">
        <x:v>39.00358292706424</x:v>
      </x:c>
      <x:c r="AI8">
        <x:v>941561856</x:v>
      </x:c>
      <x:c r="AJ8">
        <x:v>1000341504</x:v>
      </x:c>
      <x:c r="AK8">
        <x:v>71198284</x:v>
      </x:c>
      <x:c r="AL8">
        <x:v>3</x:v>
      </x:c>
      <x:c r="AM8">
        <x:v>600</x:v>
      </x:c>
      <x:c r="AN8" t="s">
        <x:v>149</x:v>
      </x:c>
      <x:c r="AO8" t="s">
        <x:v>150</x:v>
      </x:c>
      <x:c r="AP8" t="s">
        <x:v>151</x:v>
      </x:c>
      <x:c r="AQ8">
        <x:v>437</x:v>
      </x:c>
      <x:c r="AR8">
        <x:v>87264</x:v>
      </x:c>
      <x:c r="AS8" t="s">
        <x:v>152</x:v>
      </x:c>
      <x:c r="AT8" t="s">
        <x:v>120</x:v>
      </x:c>
      <x:c r="AU8" t="s">
        <x:v>151</x:v>
      </x:c>
      <x:c r="AV8" t="b">
        <x:v>0</x:v>
      </x:c>
      <x:c r="AW8">
        <x:v>0</x:v>
      </x:c>
      <x:c r="AX8" t="b">
        <x:v>0</x:v>
      </x:c>
      <x:c r="AY8" s="5" t="s">
        <x:v>153</x:v>
      </x:c>
    </x:row>
    <x:row r="9">
      <x:c r="A9" t="s">
        <x:v>154</x:v>
      </x:c>
      <x:c r="B9" t="s">
        <x:v>147</x:v>
      </x:c>
      <x:c r="C9" t="s">
        <x:v>148</x:v>
      </x:c>
      <x:c r="D9" t="s">
        <x:v>125</x:v>
      </x:c>
      <x:c r="E9" t="s">
        <x:v>113</x:v>
      </x:c>
      <x:c r="F9" t="s">
        <x:v>114</x:v>
      </x:c>
      <x:c r="H9" t="s">
        <x:v>115</x:v>
      </x:c>
      <x:c r="J9" s="3">
        <x:v>0.6323803622749981</x:v>
      </x:c>
      <x:c r="K9" s="3">
        <x:v>0.9051394892406524</x:v>
      </x:c>
      <x:c r="L9" s="3">
        <x:v>0.7002936630194493</x:v>
      </x:c>
      <x:c r="M9" s="3">
        <x:v>0.2300444485119061</x:v>
      </x:c>
      <x:c r="N9" s="3">
        <x:v>0.6466274780332826</x:v>
      </x:c>
      <x:c r="O9" s="3">
        <x:v>0.7340556473144345</x:v>
      </x:c>
      <x:c r="P9" s="3">
        <x:v>0.7849560561396349</x:v>
      </x:c>
      <x:c r="Q9" s="3">
        <x:v>0.5148480302335408</x:v>
      </x:c>
      <x:c r="R9" s="3">
        <x:v>0.7977061108149173</x:v>
      </x:c>
      <x:c r="S9" s="3">
        <x:v>0.5585710767517705</x:v>
      </x:c>
      <x:c r="T9" s="3">
        <x:v>0.04074880212589527</x:v>
      </x:c>
      <x:c r="U9" s="3">
        <x:v>0.3049099714816371</x:v>
      </x:c>
      <x:c r="V9" s="3">
        <x:v>0.6389520950785644</x:v>
      </x:c>
      <x:c r="W9" s="3">
        <x:v>0.6723818226287619</x:v>
      </x:c>
      <x:c r="X9" s="3">
        <x:v>0.6751028359197037</x:v>
      </x:c>
      <x:c r="Y9" s="4">
        <x:v>25.6274095683572</x:v>
      </x:c>
      <x:c r="Z9" s="4">
        <x:v>25.26247049900121</x:v>
      </x:c>
      <x:c r="AA9" s="4">
        <x:v>28.14596914649882</x:v>
      </x:c>
      <x:c r="AB9" s="4">
        <x:v>29.20788465933583</x:v>
      </x:c>
      <x:c r="AC9" s="4">
        <x:v>1.702035498965415</x:v>
      </x:c>
      <x:c r="AD9" s="4">
        <x:v>0.06199429912510068</x:v>
      </x:c>
      <x:c r="AE9" s="4">
        <x:v>0.005740374355430834</x:v>
      </x:c>
      <x:c r="AF9" s="4">
        <x:v>24.89929467224574</x:v>
      </x:c>
      <x:c r="AG9" s="4">
        <x:v>25.61974832780058</x:v>
      </x:c>
      <x:c r="AH9" s="4">
        <x:v>39.02072104996225</x:v>
      </x:c>
      <x:c r="AI9">
        <x:v>941561856</x:v>
      </x:c>
      <x:c r="AJ9">
        <x:v>1000341504</x:v>
      </x:c>
      <x:c r="AK9">
        <x:v>65423652</x:v>
      </x:c>
      <x:c r="AL9">
        <x:v>3</x:v>
      </x:c>
      <x:c r="AM9">
        <x:v>600</x:v>
      </x:c>
      <x:c r="AN9" t="s">
        <x:v>155</x:v>
      </x:c>
      <x:c r="AO9" t="s">
        <x:v>156</x:v>
      </x:c>
      <x:c r="AP9" t="s">
        <x:v>157</x:v>
      </x:c>
      <x:c r="AQ9">
        <x:v>437</x:v>
      </x:c>
      <x:c r="AR9">
        <x:v>87258</x:v>
      </x:c>
      <x:c r="AS9" t="s">
        <x:v>158</x:v>
      </x:c>
      <x:c r="AT9" t="s">
        <x:v>120</x:v>
      </x:c>
      <x:c r="AU9" t="s">
        <x:v>157</x:v>
      </x:c>
      <x:c r="AV9" t="b">
        <x:v>0</x:v>
      </x:c>
      <x:c r="AW9">
        <x:v>0</x:v>
      </x:c>
      <x:c r="AX9" t="b">
        <x:v>0</x:v>
      </x:c>
      <x:c r="AY9" s="5" t="s">
        <x:v>159</x:v>
      </x:c>
    </x:row>
    <x:row r="10">
      <x:c r="A10" t="s">
        <x:v>160</x:v>
      </x:c>
      <x:c r="B10" t="s">
        <x:v>161</x:v>
      </x:c>
      <x:c r="C10" t="s">
        <x:v>162</x:v>
      </x:c>
      <x:c r="D10" t="s">
        <x:v>112</x:v>
      </x:c>
      <x:c r="E10" t="s">
        <x:v>113</x:v>
      </x:c>
      <x:c r="F10" t="s">
        <x:v>114</x:v>
      </x:c>
      <x:c r="H10" t="s">
        <x:v>115</x:v>
      </x:c>
      <x:c r="J10" s="3">
        <x:v>0.7389992702819812</x:v>
      </x:c>
      <x:c r="K10" s="3">
        <x:v>0.9339003048650467</x:v>
      </x:c>
      <x:c r="L10" s="3">
        <x:v>0.7907324434051439</x:v>
      </x:c>
      <x:c r="M10" s="3">
        <x:v>0.2827859748157129</x:v>
      </x:c>
      <x:c r="N10" s="3">
        <x:v>0.5624136069334063</x:v>
      </x:c>
      <x:c r="O10" s="3">
        <x:v>0.8448316781821551</x:v>
      </x:c>
      <x:c r="P10" s="3">
        <x:v>0.8736058243951713</x:v>
      </x:c>
      <x:c r="Q10" s="3">
        <x:v>0.6022300056180777</x:v>
      </x:c>
      <x:c r="R10" s="3">
        <x:v>0.8437673446660442</x:v>
      </x:c>
      <x:c r="S10" s="3">
        <x:v>0.6591472482934229</x:v>
      </x:c>
      <x:c r="T10" s="3">
        <x:v>0.05560609881632403</x:v>
      </x:c>
      <x:c r="U10" s="3">
        <x:v>0.4551544060176449</x:v>
      </x:c>
      <x:c r="V10" s="3">
        <x:v>0.7108976359206587</x:v>
      </x:c>
      <x:c r="W10" s="3">
        <x:v>0.7313176825802522</x:v>
      </x:c>
      <x:c r="X10" s="3">
        <x:v>0.7338994811052602</x:v>
      </x:c>
      <x:c r="Y10" s="4">
        <x:v>44.67714401807219</x:v>
      </x:c>
      <x:c r="Z10" s="4">
        <x:v>44.50986200026819</x:v>
      </x:c>
      <x:c r="AA10" s="4">
        <x:v>46.95399169904703</x:v>
      </x:c>
      <x:c r="AB10" s="4">
        <x:v>47.97766403615241</x:v>
      </x:c>
      <x:c r="AC10" s="4">
        <x:v>1.919685499160551</x:v>
      </x:c>
      <x:c r="AD10" s="4">
        <x:v>0.02909474971306967</x:v>
      </x:c>
      <x:c r="AE10" s="4">
        <x:v>0.01164210492646165</x:v>
      </x:c>
      <x:c r="AF10" s="4">
        <x:v>43.25048991560818</x:v>
      </x:c>
      <x:c r="AG10" s="4">
        <x:v>45.8268677479708</x:v>
      </x:c>
      <x:c r="AH10" s="4">
        <x:v>22.38280942030434</x:v>
      </x:c>
      <x:c r="AI10">
        <x:v>941561856</x:v>
      </x:c>
      <x:c r="AJ10">
        <x:v>1000341504</x:v>
      </x:c>
      <x:c r="AK10">
        <x:v>129241676</x:v>
      </x:c>
      <x:c r="AL10">
        <x:v>3</x:v>
      </x:c>
      <x:c r="AM10">
        <x:v>600</x:v>
      </x:c>
      <x:c r="AN10" t="s">
        <x:v>163</x:v>
      </x:c>
      <x:c r="AO10" t="s">
        <x:v>164</x:v>
      </x:c>
      <x:c r="AP10" t="s">
        <x:v>165</x:v>
      </x:c>
      <x:c r="AQ10">
        <x:v>437</x:v>
      </x:c>
      <x:c r="AR10">
        <x:v>87120</x:v>
      </x:c>
      <x:c r="AS10" t="s">
        <x:v>166</x:v>
      </x:c>
      <x:c r="AT10" t="s">
        <x:v>120</x:v>
      </x:c>
      <x:c r="AU10" t="s">
        <x:v>165</x:v>
      </x:c>
      <x:c r="AV10" t="b">
        <x:v>0</x:v>
      </x:c>
      <x:c r="AW10">
        <x:v>0</x:v>
      </x:c>
      <x:c r="AX10" t="b">
        <x:v>0</x:v>
      </x:c>
      <x:c r="AY10" s="5" t="s">
        <x:v>167</x:v>
      </x:c>
    </x:row>
    <x:row r="11">
      <x:c r="A11" t="s">
        <x:v>168</x:v>
      </x:c>
      <x:c r="B11" t="s">
        <x:v>161</x:v>
      </x:c>
      <x:c r="C11" t="s">
        <x:v>162</x:v>
      </x:c>
      <x:c r="D11" t="s">
        <x:v>112</x:v>
      </x:c>
      <x:c r="E11" t="s">
        <x:v>113</x:v>
      </x:c>
      <x:c r="F11" t="s">
        <x:v>114</x:v>
      </x:c>
      <x:c r="H11" t="s">
        <x:v>115</x:v>
      </x:c>
      <x:c r="J11" s="3">
        <x:v>0.7161213328372058</x:v>
      </x:c>
      <x:c r="K11" s="3">
        <x:v>0.9245232363702137</x:v>
      </x:c>
      <x:c r="L11" s="3">
        <x:v>0.7750870289005215</x:v>
      </x:c>
      <x:c r="M11" s="3">
        <x:v>0.3049834182091494</x:v>
      </x:c>
      <x:c r="N11" s="3">
        <x:v>0.6302001302183599</x:v>
      </x:c>
      <x:c r="O11" s="3">
        <x:v>0.8210755146097616</x:v>
      </x:c>
      <x:c r="P11" s="3">
        <x:v>0.8755654798568346</x:v>
      </x:c>
      <x:c r="Q11" s="3">
        <x:v>0.5850419797466627</x:v>
      </x:c>
      <x:c r="R11" s="3">
        <x:v>0.8246511509749055</x:v>
      </x:c>
      <x:c r="S11" s="3">
        <x:v>0.6385949400909041</x:v>
      </x:c>
      <x:c r="T11" s="3">
        <x:v>0.05039664476847534</x:v>
      </x:c>
      <x:c r="U11" s="3">
        <x:v>0.4488039832790011</x:v>
      </x:c>
      <x:c r="V11" s="3">
        <x:v>0.7059797642722884</x:v>
      </x:c>
      <x:c r="W11" s="3">
        <x:v>0.7241024058480653</x:v>
      </x:c>
      <x:c r="X11" s="3">
        <x:v>0.7531286481742853</x:v>
      </x:c>
      <x:c r="Y11" s="4">
        <x:v>43.10953846836734</x:v>
      </x:c>
      <x:c r="Z11" s="4">
        <x:v>42.95711550003034</x:v>
      </x:c>
      <x:c r="AA11" s="4">
        <x:v>45.106496605149</x:v>
      </x:c>
      <x:c r="AB11" s="4">
        <x:v>45.9787016408518</x:v>
      </x:c>
      <x:c r="AC11" s="4">
        <x:v>1.065531747372006</x:v>
      </x:c>
      <x:c r="AD11" s="4">
        <x:v>0.02282776506468528</x:v>
      </x:c>
      <x:c r="AE11" s="4">
        <x:v>0.005551494122696149</x:v>
      </x:c>
      <x:c r="AF11" s="4">
        <x:v>42.34599028478794</x:v>
      </x:c>
      <x:c r="AG11" s="4">
        <x:v>43.53037904746645</x:v>
      </x:c>
      <x:c r="AH11" s="4">
        <x:v>23.19672247787515</x:v>
      </x:c>
      <x:c r="AI11">
        <x:v>941561856</x:v>
      </x:c>
      <x:c r="AJ11">
        <x:v>1000341504</x:v>
      </x:c>
      <x:c r="AK11">
        <x:v>122879868</x:v>
      </x:c>
      <x:c r="AL11">
        <x:v>3</x:v>
      </x:c>
      <x:c r="AM11">
        <x:v>600</x:v>
      </x:c>
      <x:c r="AN11" t="s">
        <x:v>169</x:v>
      </x:c>
      <x:c r="AO11" t="s">
        <x:v>170</x:v>
      </x:c>
      <x:c r="AP11" t="s">
        <x:v>171</x:v>
      </x:c>
      <x:c r="AQ11">
        <x:v>437</x:v>
      </x:c>
      <x:c r="AR11">
        <x:v>85836</x:v>
      </x:c>
      <x:c r="AS11" t="s">
        <x:v>172</x:v>
      </x:c>
      <x:c r="AT11" t="s">
        <x:v>120</x:v>
      </x:c>
      <x:c r="AU11" t="s">
        <x:v>171</x:v>
      </x:c>
      <x:c r="AV11" t="b">
        <x:v>0</x:v>
      </x:c>
      <x:c r="AW11">
        <x:v>0</x:v>
      </x:c>
      <x:c r="AX11" t="b">
        <x:v>0</x:v>
      </x:c>
      <x:c r="AY11" s="5" t="s">
        <x:v>173</x:v>
      </x:c>
    </x:row>
    <x:row r="12">
      <x:c r="A12" t="s">
        <x:v>174</x:v>
      </x:c>
      <x:c r="B12" t="s">
        <x:v>161</x:v>
      </x:c>
      <x:c r="C12" t="s">
        <x:v>175</x:v>
      </x:c>
      <x:c r="D12" t="s">
        <x:v>112</x:v>
      </x:c>
      <x:c r="E12" t="s">
        <x:v>113</x:v>
      </x:c>
      <x:c r="F12" t="s">
        <x:v>142</x:v>
      </x:c>
      <x:c r="G12" t="s">
        <x:v>143</x:v>
      </x:c>
      <x:c r="H12" t="str">
        <x:v>대상 외</x:v>
      </x:c>
      <x:c r="AV12" t="b">
        <x:v>0</x:v>
      </x:c>
      <x:c r="AW12">
        <x:v>0</x:v>
      </x:c>
      <x:c r="AX12" t="b">
        <x:v>0</x:v>
      </x:c>
    </x:row>
    <x:row r="13">
      <x:c r="A13" t="s">
        <x:v>176</x:v>
      </x:c>
      <x:c r="B13" t="s">
        <x:v>161</x:v>
      </x:c>
      <x:c r="C13" t="s">
        <x:v>175</x:v>
      </x:c>
      <x:c r="D13" t="s">
        <x:v>112</x:v>
      </x:c>
      <x:c r="E13" t="s">
        <x:v>113</x:v>
      </x:c>
      <x:c r="F13" t="s">
        <x:v>114</x:v>
      </x:c>
      <x:c r="H13" t="s">
        <x:v>115</x:v>
      </x:c>
      <x:c r="J13" s="3">
        <x:v>0.5180516359118821</x:v>
      </x:c>
      <x:c r="K13" s="3">
        <x:v>0.8589535704838495</x:v>
      </x:c>
      <x:c r="L13" s="3">
        <x:v>0.5845971368127594</x:v>
      </x:c>
      <x:c r="M13" s="3">
        <x:v>0.1614118415440802</x:v>
      </x:c>
      <x:c r="N13" s="3">
        <x:v>0.3736749652854666</x:v>
      </x:c>
      <x:c r="O13" s="3">
        <x:v>0.5842179739223072</x:v>
      </x:c>
      <x:c r="P13" s="3">
        <x:v>0.7204825107348503</x:v>
      </x:c>
      <x:c r="Q13" s="3">
        <x:v>0.5213500016890231</x:v>
      </x:c>
      <x:c r="R13" s="3">
        <x:v>0.7965053880640579</x:v>
      </x:c>
      <x:c r="S13" s="3">
        <x:v>0.5546988822653518</x:v>
      </x:c>
      <x:c r="T13" s="3">
        <x:v>0.04346100210524973</x:v>
      </x:c>
      <x:c r="U13" s="3">
        <x:v>0.3436729152004812</x:v>
      </x:c>
      <x:c r="V13" s="3">
        <x:v>0.6249359387461625</x:v>
      </x:c>
      <x:c r="W13" s="3">
        <x:v>0.7126610884295617</x:v>
      </x:c>
      <x:c r="X13" s="3">
        <x:v>0.6475576194715931</x:v>
      </x:c>
      <x:c r="Y13" s="4">
        <x:v>45.88998402826595</x:v>
      </x:c>
      <x:c r="Z13" s="4">
        <x:v>45.76865499984706</x:v>
      </x:c>
      <x:c r="AA13" s="4">
        <x:v>48.07662969978992</x:v>
      </x:c>
      <x:c r="AB13" s="4">
        <x:v>48.89365582101163</x:v>
      </x:c>
      <x:c r="AC13" s="4">
        <x:v>1.62231425565551</x:v>
      </x:c>
      <x:c r="AD13" s="4">
        <x:v>0.02550292798124478</x:v>
      </x:c>
      <x:c r="AE13" s="4">
        <x:v>0.005799672497766354</x:v>
      </x:c>
      <x:c r="AF13" s="4">
        <x:v>45.09938319864546</x:v>
      </x:c>
      <x:c r="AG13" s="4">
        <x:v>46.41799746565425</x:v>
      </x:c>
      <x:c r="AH13" s="4">
        <x:v>21.79124750586206</x:v>
      </x:c>
      <x:c r="AI13">
        <x:v>941561856</x:v>
      </x:c>
      <x:c r="AJ13">
        <x:v>1000341504</x:v>
      </x:c>
      <x:c r="AK13">
        <x:v>127079372</x:v>
      </x:c>
      <x:c r="AL13">
        <x:v>3</x:v>
      </x:c>
      <x:c r="AM13">
        <x:v>600</x:v>
      </x:c>
      <x:c r="AN13" t="s">
        <x:v>177</x:v>
      </x:c>
      <x:c r="AO13" t="s">
        <x:v>178</x:v>
      </x:c>
      <x:c r="AP13" t="s">
        <x:v>179</x:v>
      </x:c>
      <x:c r="AQ13">
        <x:v>437</x:v>
      </x:c>
      <x:c r="AR13">
        <x:v>83756</x:v>
      </x:c>
      <x:c r="AS13" t="s">
        <x:v>180</x:v>
      </x:c>
      <x:c r="AT13" t="s">
        <x:v>120</x:v>
      </x:c>
      <x:c r="AU13" t="s">
        <x:v>179</x:v>
      </x:c>
      <x:c r="AV13" t="b">
        <x:v>0</x:v>
      </x:c>
      <x:c r="AW13">
        <x:v>0</x:v>
      </x:c>
      <x:c r="AX13" t="b">
        <x:v>0</x:v>
      </x:c>
      <x:c r="AY13" s="5" t="s">
        <x:v>181</x:v>
      </x:c>
    </x:row>
    <x:row r="14">
      <x:c r="A14" t="s">
        <x:v>182</x:v>
      </x:c>
      <x:c r="B14" t="s">
        <x:v>183</x:v>
      </x:c>
      <x:c r="C14" t="s">
        <x:v>184</x:v>
      </x:c>
      <x:c r="D14" t="s">
        <x:v>125</x:v>
      </x:c>
      <x:c r="E14" t="s">
        <x:v>113</x:v>
      </x:c>
      <x:c r="F14" t="s">
        <x:v>114</x:v>
      </x:c>
      <x:c r="H14" t="s">
        <x:v>115</x:v>
      </x:c>
      <x:c r="J14" s="3">
        <x:v>0.738597901902575</x:v>
      </x:c>
      <x:c r="K14" s="3">
        <x:v>0.9359410615277045</x:v>
      </x:c>
      <x:c r="L14" s="3">
        <x:v>0.7924916805209145</x:v>
      </x:c>
      <x:c r="M14" s="3">
        <x:v>0.2779313552831788</x:v>
      </x:c>
      <x:c r="N14" s="3">
        <x:v>0.5567115122369054</x:v>
      </x:c>
      <x:c r="O14" s="3">
        <x:v>0.8417660311406839</x:v>
      </x:c>
      <x:c r="P14" s="3">
        <x:v>0.8752296601943022</x:v>
      </x:c>
      <x:c r="Q14" s="3">
        <x:v>0.6029119261351803</x:v>
      </x:c>
      <x:c r="R14" s="3">
        <x:v>0.8414925820154284</x:v>
      </x:c>
      <x:c r="S14" s="3">
        <x:v>0.6562434314308484</x:v>
      </x:c>
      <x:c r="T14" s="3">
        <x:v>0.05571456425996243</x:v>
      </x:c>
      <x:c r="U14" s="3">
        <x:v>0.4483125129222714</x:v>
      </x:c>
      <x:c r="V14" s="3">
        <x:v>0.7132881723417649</x:v>
      </x:c>
      <x:c r="W14" s="3">
        <x:v>0.7335722604027154</x:v>
      </x:c>
      <x:c r="X14" s="3">
        <x:v>0.7366895364204816</x:v>
      </x:c>
      <x:c r="Y14" s="4">
        <x:v>25.55492105160132</x:v>
      </x:c>
      <x:c r="Z14" s="4">
        <x:v>25.29960950050736</x:v>
      </x:c>
      <x:c r="AA14" s="4">
        <x:v>27.51168169488664</x:v>
      </x:c>
      <x:c r="AB14" s="4">
        <x:v>28.20130314830749</x:v>
      </x:c>
      <x:c r="AC14" s="4">
        <x:v>1.742603497405071</x:v>
      </x:c>
      <x:c r="AD14" s="4">
        <x:v>0.04375444129429452</x:v>
      </x:c>
      <x:c r="AE14" s="4">
        <x:v>0.02911082833010531</x:v>
      </x:c>
      <x:c r="AF14" s="4">
        <x:v>23.59833650741497</x:v>
      </x:c>
      <x:c r="AG14" s="4">
        <x:v>27.27775349248352</x:v>
      </x:c>
      <x:c r="AH14" s="4">
        <x:v>39.13140635342868</x:v>
      </x:c>
      <x:c r="AI14">
        <x:v>941561856</x:v>
      </x:c>
      <x:c r="AJ14">
        <x:v>1000341504</x:v>
      </x:c>
      <x:c r="AK14">
        <x:v>67873396</x:v>
      </x:c>
      <x:c r="AL14">
        <x:v>3</x:v>
      </x:c>
      <x:c r="AM14">
        <x:v>600</x:v>
      </x:c>
      <x:c r="AN14" t="s">
        <x:v>185</x:v>
      </x:c>
      <x:c r="AO14" t="s">
        <x:v>186</x:v>
      </x:c>
      <x:c r="AP14" t="s">
        <x:v>187</x:v>
      </x:c>
      <x:c r="AQ14">
        <x:v>437</x:v>
      </x:c>
      <x:c r="AR14">
        <x:v>87115</x:v>
      </x:c>
      <x:c r="AS14" t="s">
        <x:v>188</x:v>
      </x:c>
      <x:c r="AT14" t="s">
        <x:v>120</x:v>
      </x:c>
      <x:c r="AU14" t="s">
        <x:v>187</x:v>
      </x:c>
      <x:c r="AV14" t="b">
        <x:v>0</x:v>
      </x:c>
      <x:c r="AW14">
        <x:v>0</x:v>
      </x:c>
      <x:c r="AX14" t="b">
        <x:v>0</x:v>
      </x:c>
      <x:c r="AY14" s="5" t="s">
        <x:v>189</x:v>
      </x:c>
    </x:row>
    <x:row r="15">
      <x:c r="A15" t="s">
        <x:v>190</x:v>
      </x:c>
      <x:c r="B15" t="s">
        <x:v>183</x:v>
      </x:c>
      <x:c r="C15" t="s">
        <x:v>184</x:v>
      </x:c>
      <x:c r="D15" t="s">
        <x:v>133</x:v>
      </x:c>
      <x:c r="E15" t="s">
        <x:v>113</x:v>
      </x:c>
      <x:c r="F15" t="s">
        <x:v>114</x:v>
      </x:c>
      <x:c r="H15" t="s">
        <x:v>115</x:v>
      </x:c>
      <x:c r="J15" s="3">
        <x:v>0.7400863602009445</x:v>
      </x:c>
      <x:c r="K15" s="3">
        <x:v>0.935629372031065</x:v>
      </x:c>
      <x:c r="L15" s="3">
        <x:v>0.7946246808446918</x:v>
      </x:c>
      <x:c r="M15" s="3">
        <x:v>0.2807025861333039</x:v>
      </x:c>
      <x:c r="N15" s="3">
        <x:v>0.5667246210482796</x:v>
      </x:c>
      <x:c r="O15" s="3">
        <x:v>0.8420302932483863</x:v>
      </x:c>
      <x:c r="P15" s="3">
        <x:v>0.8750164909589727</x:v>
      </x:c>
      <x:c r="Q15" s="3">
        <x:v>0.6023425986945383</x:v>
      </x:c>
      <x:c r="R15" s="3">
        <x:v>0.8436519912250661</x:v>
      </x:c>
      <x:c r="S15" s="3">
        <x:v>0.6540234660019252</x:v>
      </x:c>
      <x:c r="T15" s="3">
        <x:v>0.05474042594410672</x:v>
      </x:c>
      <x:c r="U15" s="3">
        <x:v>0.4557714431677525</x:v>
      </x:c>
      <x:c r="V15" s="3">
        <x:v>0.7087602648651024</x:v>
      </x:c>
      <x:c r="W15" s="3">
        <x:v>0.7341994491445925</x:v>
      </x:c>
      <x:c r="X15" s="3">
        <x:v>0.741211228206296</x:v>
      </x:c>
      <x:c r="Y15" s="4">
        <x:v>26.00111180150028</x:v>
      </x:c>
      <x:c r="Z15" s="4">
        <x:v>26.18279599846574</x:v>
      </x:c>
      <x:c r="AA15" s="4">
        <x:v>27.42526150286722</x:v>
      </x:c>
      <x:c r="AB15" s="4">
        <x:v>27.94653781667876</x:v>
      </x:c>
      <x:c r="AC15" s="4">
        <x:v>1.399168497300707</x:v>
      </x:c>
      <x:c r="AD15" s="4">
        <x:v>0.03801355272331603</x:v>
      </x:c>
      <x:c r="AE15" s="4">
        <x:v>0.008494843897792766</x:v>
      </x:c>
      <x:c r="AF15" s="4">
        <x:v>25.58145613738922</x:v>
      </x:c>
      <x:c r="AG15" s="4">
        <x:v>26.6844798620685</x:v>
      </x:c>
      <x:c r="AH15" s="4">
        <x:v>38.4598938550889</x:v>
      </x:c>
      <x:c r="AI15">
        <x:v>941561856</x:v>
      </x:c>
      <x:c r="AJ15">
        <x:v>1000341504</x:v>
      </x:c>
      <x:c r="AK15">
        <x:v>67959596</x:v>
      </x:c>
      <x:c r="AL15">
        <x:v>3</x:v>
      </x:c>
      <x:c r="AM15">
        <x:v>600</x:v>
      </x:c>
      <x:c r="AN15" t="s">
        <x:v>191</x:v>
      </x:c>
      <x:c r="AO15" t="s">
        <x:v>192</x:v>
      </x:c>
      <x:c r="AP15" t="s">
        <x:v>193</x:v>
      </x:c>
      <x:c r="AQ15">
        <x:v>437</x:v>
      </x:c>
      <x:c r="AR15">
        <x:v>87107</x:v>
      </x:c>
      <x:c r="AS15" t="s">
        <x:v>194</x:v>
      </x:c>
      <x:c r="AT15" t="s">
        <x:v>120</x:v>
      </x:c>
      <x:c r="AU15" t="s">
        <x:v>193</x:v>
      </x:c>
      <x:c r="AV15" t="b">
        <x:v>0</x:v>
      </x:c>
      <x:c r="AW15">
        <x:v>0</x:v>
      </x:c>
      <x:c r="AX15" t="b">
        <x:v>0</x:v>
      </x:c>
      <x:c r="AY15" s="5" t="s">
        <x:v>195</x:v>
      </x:c>
    </x:row>
    <x:row r="16">
      <x:c r="A16" t="s">
        <x:v>196</x:v>
      </x:c>
      <x:c r="B16" t="s">
        <x:v>183</x:v>
      </x:c>
      <x:c r="C16" t="s">
        <x:v>197</x:v>
      </x:c>
      <x:c r="D16" t="s">
        <x:v>112</x:v>
      </x:c>
      <x:c r="E16" t="s">
        <x:v>198</x:v>
      </x:c>
      <x:c r="F16" t="s">
        <x:v>114</x:v>
      </x:c>
      <x:c r="H16" t="s">
        <x:v>115</x:v>
      </x:c>
      <x:c r="J16" s="3">
        <x:v>0.7318819382580608</x:v>
      </x:c>
      <x:c r="K16" s="3">
        <x:v>0.9322202331545338</x:v>
      </x:c>
      <x:c r="L16" s="3">
        <x:v>0.7920879512190363</x:v>
      </x:c>
      <x:c r="M16" s="3">
        <x:v>0.2643611430997656</x:v>
      </x:c>
      <x:c r="N16" s="3">
        <x:v>0.5930876711377386</x:v>
      </x:c>
      <x:c r="O16" s="3">
        <x:v>0.8433496460214314</x:v>
      </x:c>
      <x:c r="P16" s="3">
        <x:v>0.8670514027097019</x:v>
      </x:c>
      <x:c r="Q16" s="3">
        <x:v>0.5939927335145</x:v>
      </x:c>
      <x:c r="R16" s="3">
        <x:v>0.8389463587441868</x:v>
      </x:c>
      <x:c r="S16" s="3">
        <x:v>0.6519845513450481</x:v>
      </x:c>
      <x:c r="T16" s="3">
        <x:v>0.04484513473963772</x:v>
      </x:c>
      <x:c r="U16" s="3">
        <x:v>0.4637476642744076</x:v>
      </x:c>
      <x:c r="V16" s="3">
        <x:v>0.701879801515664</x:v>
      </x:c>
      <x:c r="W16" s="3">
        <x:v>0.7177416449149157</x:v>
      </x:c>
      <x:c r="X16" s="3">
        <x:v>0.7353064144990077</x:v>
      </x:c>
      <x:c r="Y16" s="4">
        <x:v>36.20896065676789</x:v>
      </x:c>
      <x:c r="Z16" s="4">
        <x:v>36.29605549576809</x:v>
      </x:c>
      <x:c r="AA16" s="4">
        <x:v>37.83398185187252</x:v>
      </x:c>
      <x:c r="AB16" s="4">
        <x:v>38.43529751844471</x:v>
      </x:c>
      <x:c r="AC16" s="4">
        <x:v>1.536031748401001</x:v>
      </x:c>
      <x:c r="AD16" s="4">
        <x:v>0.0306906236801397</x:v>
      </x:c>
      <x:c r="AE16" s="4">
        <x:v>0.00487708089505782</x:v>
      </x:c>
      <x:c r="AF16" s="4">
        <x:v>35.86461110025129</x:v>
      </x:c>
      <x:c r="AG16" s="4">
        <x:v>36.744364569079</x:v>
      </x:c>
      <x:c r="AH16" s="4">
        <x:v>27.61747318513789</x:v>
      </x:c>
      <x:c r="AI16">
        <x:v>936573952</x:v>
      </x:c>
      <x:c r="AJ16">
        <x:v>977272832</x:v>
      </x:c>
      <x:c r="AK16">
        <x:v>128549228</x:v>
      </x:c>
      <x:c r="AL16">
        <x:v>3</x:v>
      </x:c>
      <x:c r="AM16">
        <x:v>600</x:v>
      </x:c>
      <x:c r="AN16" t="s">
        <x:v>199</x:v>
      </x:c>
      <x:c r="AO16" t="s">
        <x:v>200</x:v>
      </x:c>
      <x:c r="AP16" t="s">
        <x:v>201</x:v>
      </x:c>
      <x:c r="AQ16">
        <x:v>437</x:v>
      </x:c>
      <x:c r="AR16">
        <x:v>87063</x:v>
      </x:c>
      <x:c r="AS16" t="s">
        <x:v>202</x:v>
      </x:c>
      <x:c r="AT16" t="s">
        <x:v>120</x:v>
      </x:c>
      <x:c r="AU16" t="s">
        <x:v>201</x:v>
      </x:c>
      <x:c r="AV16" t="b">
        <x:v>0</x:v>
      </x:c>
      <x:c r="AW16">
        <x:v>0</x:v>
      </x:c>
      <x:c r="AX16" t="b">
        <x:v>0</x:v>
      </x:c>
      <x:c r="AY16" s="5" t="s">
        <x:v>203</x:v>
      </x:c>
    </x:row>
    <x:row r="17">
      <x:c r="A17" t="s">
        <x:v>204</x:v>
      </x:c>
      <x:c r="B17" t="s">
        <x:v>183</x:v>
      </x:c>
      <x:c r="C17" t="s">
        <x:v>197</x:v>
      </x:c>
      <x:c r="D17" t="s">
        <x:v>112</x:v>
      </x:c>
      <x:c r="E17" t="s">
        <x:v>205</x:v>
      </x:c>
      <x:c r="F17" t="s">
        <x:v>114</x:v>
      </x:c>
      <x:c r="H17" t="s">
        <x:v>115</x:v>
      </x:c>
      <x:c r="J17" s="3">
        <x:v>0.7310415390195883</x:v>
      </x:c>
      <x:c r="K17" s="3">
        <x:v>0.9364720875459759</x:v>
      </x:c>
      <x:c r="L17" s="3">
        <x:v>0.7831944601512114</x:v>
      </x:c>
      <x:c r="M17" s="3">
        <x:v>0.2701885896624858</x:v>
      </x:c>
      <x:c r="N17" s="3">
        <x:v>0.4792788136209696</x:v>
      </x:c>
      <x:c r="O17" s="3">
        <x:v>0.8440515383416898</x:v>
      </x:c>
      <x:c r="P17" s="3">
        <x:v>0.8716904812567168</x:v>
      </x:c>
      <x:c r="Q17" s="3">
        <x:v>0.599605674186933</x:v>
      </x:c>
      <x:c r="R17" s="3">
        <x:v>0.8442760136040285</x:v>
      </x:c>
      <x:c r="S17" s="3">
        <x:v>0.6457183546606786</x:v>
      </x:c>
      <x:c r="T17" s="3">
        <x:v>0.04358168506952879</x:v>
      </x:c>
      <x:c r="U17" s="3">
        <x:v>0.3721858106570243</x:v>
      </x:c>
      <x:c r="V17" s="3">
        <x:v>0.7064103481892694</x:v>
      </x:c>
      <x:c r="W17" s="3">
        <x:v>0.7276417921756191</x:v>
      </x:c>
      <x:c r="X17" s="3">
        <x:v>0.7281783411589681</x:v>
      </x:c>
      <x:c r="Y17" s="4">
        <x:v>41.76035177317923</x:v>
      </x:c>
      <x:c r="Z17" s="4">
        <x:v>41.97326050052652</x:v>
      </x:c>
      <x:c r="AA17" s="4">
        <x:v>43.17550875166489</x:v>
      </x:c>
      <x:c r="AB17" s="4">
        <x:v>43.62850303696177</x:v>
      </x:c>
      <x:c r="AC17" s="4">
        <x:v>1.315502497163834</x:v>
      </x:c>
      <x:c r="AD17" s="4">
        <x:v>0.02376242395301062</x:v>
      </x:c>
      <x:c r="AE17" s="4">
        <x:v>0.002552756139084348</x:v>
      </x:c>
      <x:c r="AF17" s="4">
        <x:v>41.68941190833523</x:v>
      </x:c>
      <x:c r="AG17" s="4">
        <x:v>42.22156775689852</x:v>
      </x:c>
      <x:c r="AH17" s="4">
        <x:v>23.94615843830737</x:v>
      </x:c>
      <x:c r="AI17">
        <x:v>939813376</x:v>
      </x:c>
      <x:c r="AJ17">
        <x:v>981467136</x:v>
      </x:c>
      <x:c r="AK17">
        <x:v>128969140</x:v>
      </x:c>
      <x:c r="AL17">
        <x:v>3</x:v>
      </x:c>
      <x:c r="AM17">
        <x:v>600</x:v>
      </x:c>
      <x:c r="AN17" t="s">
        <x:v>206</x:v>
      </x:c>
      <x:c r="AO17" t="s">
        <x:v>207</x:v>
      </x:c>
      <x:c r="AP17" t="s">
        <x:v>208</x:v>
      </x:c>
      <x:c r="AQ17">
        <x:v>437</x:v>
      </x:c>
      <x:c r="AR17">
        <x:v>87129</x:v>
      </x:c>
      <x:c r="AS17" t="s">
        <x:v>209</x:v>
      </x:c>
      <x:c r="AT17" t="s">
        <x:v>120</x:v>
      </x:c>
      <x:c r="AU17" t="s">
        <x:v>208</x:v>
      </x:c>
      <x:c r="AV17" t="b">
        <x:v>0</x:v>
      </x:c>
      <x:c r="AW17">
        <x:v>0</x:v>
      </x:c>
      <x:c r="AX17" t="b">
        <x:v>0</x:v>
      </x:c>
      <x:c r="AY17" s="5" t="s">
        <x:v>210</x:v>
      </x:c>
    </x:row>
    <x:row r="18">
      <x:c r="A18" t="s">
        <x:v>211</x:v>
      </x:c>
      <x:c r="B18" t="s">
        <x:v>212</x:v>
      </x:c>
      <x:c r="C18" t="s">
        <x:v>213</x:v>
      </x:c>
      <x:c r="D18" t="s">
        <x:v>125</x:v>
      </x:c>
      <x:c r="E18" t="s">
        <x:v>198</x:v>
      </x:c>
      <x:c r="F18" t="s">
        <x:v>114</x:v>
      </x:c>
      <x:c r="H18" t="s">
        <x:v>115</x:v>
      </x:c>
      <x:c r="J18" s="3">
        <x:v>0.7287984799915459</x:v>
      </x:c>
      <x:c r="K18" s="3">
        <x:v>0.9246300291965575</x:v>
      </x:c>
      <x:c r="L18" s="3">
        <x:v>0.7803742773978024</x:v>
      </x:c>
      <x:c r="M18" s="3">
        <x:v>0.2749672636981775</x:v>
      </x:c>
      <x:c r="N18" s="3">
        <x:v>0.5342058803864995</x:v>
      </x:c>
      <x:c r="O18" s="3">
        <x:v>0.8430068647604106</x:v>
      </x:c>
      <x:c r="P18" s="3">
        <x:v>0.8679237263940097</x:v>
      </x:c>
      <x:c r="Q18" s="3">
        <x:v>0.5941087991992697</x:v>
      </x:c>
      <x:c r="R18" s="3">
        <x:v>0.8326864464469744</x:v>
      </x:c>
      <x:c r="S18" s="3">
        <x:v>0.6361196031266156</x:v>
      </x:c>
      <x:c r="T18" s="3">
        <x:v>0.04670559335993692</x:v>
      </x:c>
      <x:c r="U18" s="3">
        <x:v>0.5256950287925706</x:v>
      </x:c>
      <x:c r="V18" s="3">
        <x:v>0.7109112992546921</x:v>
      </x:c>
      <x:c r="W18" s="3">
        <x:v>0.7142220850683234</x:v>
      </x:c>
      <x:c r="X18" s="3">
        <x:v>0.7034388832290747</x:v>
      </x:c>
      <x:c r="Y18" s="4">
        <x:v>24.10513504356156</x:v>
      </x:c>
      <x:c r="Z18" s="4">
        <x:v>24.01029550310341</x:v>
      </x:c>
      <x:c r="AA18" s="4">
        <x:v>25.82094540157414</x:v>
      </x:c>
      <x:c r="AB18" s="4">
        <x:v>26.43697994106333</x:v>
      </x:c>
      <x:c r="AC18" s="4">
        <x:v>1.959679253559443</x:v>
      </x:c>
      <x:c r="AD18" s="4">
        <x:v>0.04679100793673208</x:v>
      </x:c>
      <x:c r="AE18" s="4">
        <x:v>0.03824869827552258</x:v>
      </x:c>
      <x:c r="AF18" s="4">
        <x:v>21.72827670675453</x:v>
      </x:c>
      <x:c r="AG18" s="4">
        <x:v>26.29121895981582</x:v>
      </x:c>
      <x:c r="AH18" s="4">
        <x:v>41.48493664079673</x:v>
      </x:c>
      <x:c r="AI18">
        <x:v>936573952</x:v>
      </x:c>
      <x:c r="AJ18">
        <x:v>977272832</x:v>
      </x:c>
      <x:c r="AK18">
        <x:v>71359388</x:v>
      </x:c>
      <x:c r="AL18">
        <x:v>3</x:v>
      </x:c>
      <x:c r="AM18">
        <x:v>600</x:v>
      </x:c>
      <x:c r="AN18" t="s">
        <x:v>214</x:v>
      </x:c>
      <x:c r="AO18" t="s">
        <x:v>215</x:v>
      </x:c>
      <x:c r="AP18" t="s">
        <x:v>216</x:v>
      </x:c>
      <x:c r="AQ18">
        <x:v>437</x:v>
      </x:c>
      <x:c r="AR18">
        <x:v>86457</x:v>
      </x:c>
      <x:c r="AS18" t="s">
        <x:v>217</x:v>
      </x:c>
      <x:c r="AT18" t="s">
        <x:v>120</x:v>
      </x:c>
      <x:c r="AU18" t="s">
        <x:v>216</x:v>
      </x:c>
      <x:c r="AV18" t="b">
        <x:v>0</x:v>
      </x:c>
      <x:c r="AW18">
        <x:v>0</x:v>
      </x:c>
      <x:c r="AX18" t="b">
        <x:v>0</x:v>
      </x:c>
      <x:c r="AY18" s="5" t="s">
        <x:v>218</x:v>
      </x:c>
    </x:row>
    <x:row r="19">
      <x:c r="A19" t="s">
        <x:v>219</x:v>
      </x:c>
      <x:c r="B19" t="s">
        <x:v>212</x:v>
      </x:c>
      <x:c r="C19" t="s">
        <x:v>213</x:v>
      </x:c>
      <x:c r="D19" t="s">
        <x:v>112</x:v>
      </x:c>
      <x:c r="E19" t="s">
        <x:v>205</x:v>
      </x:c>
      <x:c r="F19" t="s">
        <x:v>114</x:v>
      </x:c>
      <x:c r="H19" t="s">
        <x:v>115</x:v>
      </x:c>
      <x:c r="J19" s="3">
        <x:v>0.7329731311010346</x:v>
      </x:c>
      <x:c r="K19" s="3">
        <x:v>0.9252375929791357</x:v>
      </x:c>
      <x:c r="L19" s="3">
        <x:v>0.7789656919797115</x:v>
      </x:c>
      <x:c r="M19" s="3">
        <x:v>0.2754308333438719</x:v>
      </x:c>
      <x:c r="N19" s="3">
        <x:v>0.5163820240099521</x:v>
      </x:c>
      <x:c r="O19" s="3">
        <x:v>0.8447947057057178</x:v>
      </x:c>
      <x:c r="P19" s="3">
        <x:v>0.8781966363835834</x:v>
      </x:c>
      <x:c r="Q19" s="3">
        <x:v>0.5997268915175692</x:v>
      </x:c>
      <x:c r="R19" s="3">
        <x:v>0.8412961717754037</x:v>
      </x:c>
      <x:c r="S19" s="3">
        <x:v>0.6382843982603958</x:v>
      </x:c>
      <x:c r="T19" s="3">
        <x:v>0.05004571385718491</x:v>
      </x:c>
      <x:c r="U19" s="3">
        <x:v>0.3898645022258965</x:v>
      </x:c>
      <x:c r="V19" s="3">
        <x:v>0.7085936147015047</x:v>
      </x:c>
      <x:c r="W19" s="3">
        <x:v>0.7271833912158736</x:v>
      </x:c>
      <x:c r="X19" s="3">
        <x:v>0.7107549105524779</x:v>
      </x:c>
      <x:c r="Y19" s="4">
        <x:v>42.84024187001099</x:v>
      </x:c>
      <x:c r="Z19" s="4">
        <x:v>42.96294300002046</x:v>
      </x:c>
      <x:c r="AA19" s="4">
        <x:v>44.72060505286208</x:v>
      </x:c>
      <x:c r="AB19" s="4">
        <x:v>45.70533483325562</x:v>
      </x:c>
      <x:c r="AC19" s="4">
        <x:v>1.85004249397025</x:v>
      </x:c>
      <x:c r="AD19" s="4">
        <x:v>0.03002173116233085</x:v>
      </x:c>
      <x:c r="AE19" s="4">
        <x:v>0.01259339805367014</x:v>
      </x:c>
      <x:c r="AF19" s="4">
        <x:v>41.47482925676148</x:v>
      </x:c>
      <x:c r="AG19" s="4">
        <x:v>44.15382974199612</x:v>
      </x:c>
      <x:c r="AH19" s="4">
        <x:v>23.34253861204317</x:v>
      </x:c>
      <x:c r="AI19">
        <x:v>939813376</x:v>
      </x:c>
      <x:c r="AJ19">
        <x:v>981467136</x:v>
      </x:c>
      <x:c r="AK19">
        <x:v>135359412</x:v>
      </x:c>
      <x:c r="AL19">
        <x:v>3</x:v>
      </x:c>
      <x:c r="AM19">
        <x:v>600</x:v>
      </x:c>
      <x:c r="AN19" t="s">
        <x:v>220</x:v>
      </x:c>
      <x:c r="AO19" t="s">
        <x:v>221</x:v>
      </x:c>
      <x:c r="AP19" t="s">
        <x:v>222</x:v>
      </x:c>
      <x:c r="AQ19">
        <x:v>437</x:v>
      </x:c>
      <x:c r="AR19">
        <x:v>86477</x:v>
      </x:c>
      <x:c r="AS19" t="s">
        <x:v>223</x:v>
      </x:c>
      <x:c r="AT19" t="s">
        <x:v>120</x:v>
      </x:c>
      <x:c r="AU19" t="s">
        <x:v>222</x:v>
      </x:c>
      <x:c r="AV19" t="b">
        <x:v>0</x:v>
      </x:c>
      <x:c r="AW19">
        <x:v>0</x:v>
      </x:c>
      <x:c r="AX19" t="b">
        <x:v>0</x:v>
      </x:c>
      <x:c r="AY19" s="5" t="s">
        <x:v>224</x:v>
      </x:c>
    </x:row>
    <x:row r="20">
      <x:c r="A20" t="s">
        <x:v>225</x:v>
      </x:c>
      <x:c r="B20" t="s">
        <x:v>212</x:v>
      </x:c>
      <x:c r="C20" t="s">
        <x:v>213</x:v>
      </x:c>
      <x:c r="D20" t="s">
        <x:v>112</x:v>
      </x:c>
      <x:c r="E20" t="s">
        <x:v>226</x:v>
      </x:c>
      <x:c r="F20" t="s">
        <x:v>114</x:v>
      </x:c>
      <x:c r="H20" t="s">
        <x:v>115</x:v>
      </x:c>
      <x:c r="J20" s="3">
        <x:v>0.7264564082481132</x:v>
      </x:c>
      <x:c r="K20" s="3">
        <x:v>0.9329505158409681</x:v>
      </x:c>
      <x:c r="L20" s="3">
        <x:v>0.7667819624989041</x:v>
      </x:c>
      <x:c r="M20" s="3">
        <x:v>0.237834555764621</x:v>
      </x:c>
      <x:c r="N20" s="3">
        <x:v>0.5444707631991951</x:v>
      </x:c>
      <x:c r="O20" s="3">
        <x:v>0.8460256294060681</x:v>
      </x:c>
      <x:c r="P20" s="3">
        <x:v>0.8680585160473518</x:v>
      </x:c>
      <x:c r="Q20" s="3">
        <x:v>0.5865409277639649</x:v>
      </x:c>
      <x:c r="R20" s="3">
        <x:v>0.8156595151329519</x:v>
      </x:c>
      <x:c r="S20" s="3">
        <x:v>0.6388196719300908</x:v>
      </x:c>
      <x:c r="T20" s="3">
        <x:v>0.03168388946913445</x:v>
      </x:c>
      <x:c r="U20" s="3">
        <x:v>0.3448571879853294</x:v>
      </x:c>
      <x:c r="V20" s="3">
        <x:v>0.702572323987006</x:v>
      </x:c>
      <x:c r="W20" s="3">
        <x:v>0.7018951571815482</x:v>
      </x:c>
      <x:c r="X20" s="3">
        <x:v>0.7281027967504808</x:v>
      </x:c>
      <x:c r="Y20" s="4">
        <x:v>32.54698420144754</x:v>
      </x:c>
      <x:c r="Z20" s="4">
        <x:v>32.38640950439731</x:v>
      </x:c>
      <x:c r="AA20" s="4">
        <x:v>34.87514885164273</x:v>
      </x:c>
      <x:c r="AB20" s="4">
        <x:v>36.24967907417157</x:v>
      </x:c>
      <x:c r="AC20" s="4">
        <x:v>1.830089249779121</x:v>
      </x:c>
      <x:c r="AD20" s="4">
        <x:v>0.04362668058889962</x:v>
      </x:c>
      <x:c r="AE20" s="4">
        <x:v>0.01847867354756684</x:v>
      </x:c>
      <x:c r="AF20" s="4">
        <x:v>30.92473606349131</x:v>
      </x:c>
      <x:c r="AG20" s="4">
        <x:v>33.90069493400081</x:v>
      </x:c>
      <x:c r="AH20" s="4">
        <x:v>30.72481289850273</x:v>
      </x:c>
      <x:c r="AI20">
        <x:v>933675520</x:v>
      </x:c>
      <x:c r="AJ20">
        <x:v>966787072</x:v>
      </x:c>
      <x:c r="AK20">
        <x:v>134476020</x:v>
      </x:c>
      <x:c r="AL20">
        <x:v>3</x:v>
      </x:c>
      <x:c r="AM20">
        <x:v>600</x:v>
      </x:c>
      <x:c r="AN20" t="s">
        <x:v>227</x:v>
      </x:c>
      <x:c r="AO20" t="s">
        <x:v>228</x:v>
      </x:c>
      <x:c r="AP20" t="s">
        <x:v>229</x:v>
      </x:c>
      <x:c r="AQ20">
        <x:v>437</x:v>
      </x:c>
      <x:c r="AR20">
        <x:v>86546</x:v>
      </x:c>
      <x:c r="AS20" t="s">
        <x:v>230</x:v>
      </x:c>
      <x:c r="AT20" t="s">
        <x:v>120</x:v>
      </x:c>
      <x:c r="AU20" t="s">
        <x:v>229</x:v>
      </x:c>
      <x:c r="AV20" t="b">
        <x:v>0</x:v>
      </x:c>
      <x:c r="AW20">
        <x:v>0</x:v>
      </x:c>
      <x:c r="AX20" t="b">
        <x:v>0</x:v>
      </x:c>
      <x:c r="AY20" s="5" t="s">
        <x:v>231</x:v>
      </x:c>
    </x:row>
    <x:row r="21">
      <x:c r="A21" t="s">
        <x:v>232</x:v>
      </x:c>
      <x:c r="B21" t="s">
        <x:v>123</x:v>
      </x:c>
      <x:c r="C21" t="s">
        <x:v>233</x:v>
      </x:c>
      <x:c r="D21" t="s">
        <x:v>133</x:v>
      </x:c>
      <x:c r="E21" t="s">
        <x:v>113</x:v>
      </x:c>
      <x:c r="F21" t="s">
        <x:v>114</x:v>
      </x:c>
      <x:c r="H21" t="s">
        <x:v>115</x:v>
      </x:c>
      <x:c r="J21" s="3">
        <x:v>0.5931518623325061</x:v>
      </x:c>
      <x:c r="K21" s="3">
        <x:v>0.8192457909077178</x:v>
      </x:c>
      <x:c r="L21" s="3">
        <x:v>0.6744182991633434</x:v>
      </x:c>
      <x:c r="M21" s="3">
        <x:v>0.0439113463101176</x:v>
      </x:c>
      <x:c r="N21" s="3">
        <x:v>0.4679029672815765</x:v>
      </x:c>
      <x:c r="O21" s="3">
        <x:v>0.758448333104057</x:v>
      </x:c>
      <x:c r="P21" s="3">
        <x:v>0.7708824484625559</x:v>
      </x:c>
      <x:c r="Q21" s="3">
        <x:v>0.47432176245291</x:v>
      </x:c>
      <x:c r="R21" s="3">
        <x:v>0.6855633513219301</x:v>
      </x:c>
      <x:c r="S21" s="3">
        <x:v>0.5452047737710902</x:v>
      </x:c>
      <x:c r="T21" s="3">
        <x:v>0.002619723978981869</x:v>
      </x:c>
      <x:c r="U21" s="3">
        <x:v>0.3973912234791928</x:v>
      </x:c>
      <x:c r="V21" s="3">
        <x:v>0.5383624219447309</x:v>
      </x:c>
      <x:c r="W21" s="3">
        <x:v>0.5772562473117075</x:v>
      </x:c>
      <x:c r="X21" s="3">
        <x:v>0.6590965538365575</x:v>
      </x:c>
      <x:c r="Y21" s="4">
        <x:v>25.41692105497835</x:v>
      </x:c>
      <x:c r="Z21" s="4">
        <x:v>25.11397199850762</x:v>
      </x:c>
      <x:c r="AA21" s="4">
        <x:v>27.84945969469845</x:v>
      </x:c>
      <x:c r="AB21" s="4">
        <x:v>28.66369779185333</x:v>
      </x:c>
      <x:c r="AC21" s="4">
        <x:v>1.316716499786708</x:v>
      </x:c>
      <x:c r="AD21" s="4">
        <x:v>0.04673736158091026</x:v>
      </x:c>
      <x:c r="AE21" s="4">
        <x:v>0.01094970893219685</x:v>
      </x:c>
      <x:c r="AF21" s="4">
        <x:v>24.42461222824067</x:v>
      </x:c>
      <x:c r="AG21" s="4">
        <x:v>25.7906057696614</x:v>
      </x:c>
      <x:c r="AH21" s="4">
        <x:v>39.34386851330022</x:v>
      </x:c>
      <x:c r="AI21">
        <x:v>941561856</x:v>
      </x:c>
      <x:c r="AJ21">
        <x:v>1000341504</x:v>
      </x:c>
      <x:c r="AK21">
        <x:v>50137380</x:v>
      </x:c>
      <x:c r="AL21">
        <x:v>3</x:v>
      </x:c>
      <x:c r="AM21">
        <x:v>600</x:v>
      </x:c>
      <x:c r="AN21" t="s">
        <x:v>234</x:v>
      </x:c>
      <x:c r="AO21" t="s">
        <x:v>235</x:v>
      </x:c>
      <x:c r="AP21" t="s">
        <x:v>236</x:v>
      </x:c>
      <x:c r="AQ21">
        <x:v>437</x:v>
      </x:c>
      <x:c r="AR21">
        <x:v>85921</x:v>
      </x:c>
      <x:c r="AS21" t="s">
        <x:v>237</x:v>
      </x:c>
      <x:c r="AT21" t="s">
        <x:v>120</x:v>
      </x:c>
      <x:c r="AU21" t="s">
        <x:v>236</x:v>
      </x:c>
      <x:c r="AV21" t="b">
        <x:v>0</x:v>
      </x:c>
      <x:c r="AW21">
        <x:v>0</x:v>
      </x:c>
      <x:c r="AX21" t="b">
        <x:v>0</x:v>
      </x:c>
      <x:c r="AY21" s="5" t="s">
        <x:v>238</x:v>
      </x:c>
    </x:row>
    <x:row r="22">
      <x:c r="A22" t="s">
        <x:v>239</x:v>
      </x:c>
      <x:c r="B22" t="s">
        <x:v>123</x:v>
      </x:c>
      <x:c r="C22" t="s">
        <x:v>240</x:v>
      </x:c>
      <x:c r="D22" t="s">
        <x:v>241</x:v>
      </x:c>
      <x:c r="E22" t="s">
        <x:v>113</x:v>
      </x:c>
      <x:c r="F22" t="s">
        <x:v>114</x:v>
      </x:c>
      <x:c r="H22" t="s">
        <x:v>115</x:v>
      </x:c>
      <x:c r="J22" s="3">
        <x:v>0.5964751478628372</x:v>
      </x:c>
      <x:c r="K22" s="3">
        <x:v>0.825783559075982</x:v>
      </x:c>
      <x:c r="L22" s="3">
        <x:v>0.6692936134097379</x:v>
      </x:c>
      <x:c r="M22" s="3">
        <x:v>0.0609981789920745</x:v>
      </x:c>
      <x:c r="N22" s="3">
        <x:v>0.4366875412223145</x:v>
      </x:c>
      <x:c r="O22" s="3">
        <x:v>0.753661726839238</x:v>
      </x:c>
      <x:c r="P22" s="3">
        <x:v>0.7701149534941822</x:v>
      </x:c>
      <x:c r="Q22" s="3">
        <x:v>0.4832228135826049</x:v>
      </x:c>
      <x:c r="R22" s="3">
        <x:v>0.6897675733778152</x:v>
      </x:c>
      <x:c r="S22" s="3">
        <x:v>0.5744500077108872</x:v>
      </x:c>
      <x:c r="T22" s="3">
        <x:v>0.002137048094288038</x:v>
      </x:c>
      <x:c r="U22" s="3">
        <x:v>0.2943414713214972</x:v>
      </x:c>
      <x:c r="V22" s="3">
        <x:v>0.5470180329562678</x:v>
      </x:c>
      <x:c r="W22" s="3">
        <x:v>0.5814190064057232</x:v>
      </x:c>
      <x:c r="X22" s="3">
        <x:v>0.650427116319593</x:v>
      </x:c>
      <x:c r="Y22" s="4">
        <x:v>25.43866979140148</x:v>
      </x:c>
      <x:c r="Z22" s="4">
        <x:v>25.18349350066273</x:v>
      </x:c>
      <x:c r="AA22" s="4">
        <x:v>27.59679680384579</x:v>
      </x:c>
      <x:c r="AB22" s="4">
        <x:v>28.43294816477282</x:v>
      </x:c>
      <x:c r="AC22" s="4">
        <x:v>1.560991997394012</x:v>
      </x:c>
      <x:c r="AD22" s="4">
        <x:v>0.04608006537571419</x:v>
      </x:c>
      <x:c r="AE22" s="4">
        <x:v>0.01318441649414913</x:v>
      </x:c>
      <x:c r="AF22" s="4">
        <x:v>24.47950842876084</x:v>
      </x:c>
      <x:c r="AG22" s="4">
        <x:v>26.13744390722501</x:v>
      </x:c>
      <x:c r="AH22" s="4">
        <x:v>39.31023155691929</x:v>
      </x:c>
      <x:c r="AI22">
        <x:v>941561856</x:v>
      </x:c>
      <x:c r="AJ22">
        <x:v>1000341504</x:v>
      </x:c>
      <x:c r="AK22">
        <x:v>45497556</x:v>
      </x:c>
      <x:c r="AL22">
        <x:v>3</x:v>
      </x:c>
      <x:c r="AM22">
        <x:v>600</x:v>
      </x:c>
      <x:c r="AN22" t="s">
        <x:v>242</x:v>
      </x:c>
      <x:c r="AO22" t="s">
        <x:v>243</x:v>
      </x:c>
      <x:c r="AP22" t="s">
        <x:v>244</x:v>
      </x:c>
      <x:c r="AQ22">
        <x:v>437</x:v>
      </x:c>
      <x:c r="AR22">
        <x:v>85786</x:v>
      </x:c>
      <x:c r="AS22" t="s">
        <x:v>245</x:v>
      </x:c>
      <x:c r="AT22" t="s">
        <x:v>120</x:v>
      </x:c>
      <x:c r="AU22" t="s">
        <x:v>244</x:v>
      </x:c>
      <x:c r="AV22" t="b">
        <x:v>0</x:v>
      </x:c>
      <x:c r="AW22">
        <x:v>0</x:v>
      </x:c>
      <x:c r="AX22" t="b">
        <x:v>0</x:v>
      </x:c>
      <x:c r="AY22" s="5" t="s">
        <x:v>246</x:v>
      </x:c>
    </x:row>
    <x:row r="23">
      <x:c r="A23" t="s">
        <x:v>247</x:v>
      </x:c>
      <x:c r="B23" t="s">
        <x:v>123</x:v>
      </x:c>
      <x:c r="C23" t="s">
        <x:v>248</x:v>
      </x:c>
      <x:c r="D23" t="s">
        <x:v>249</x:v>
      </x:c>
      <x:c r="E23" t="s">
        <x:v>113</x:v>
      </x:c>
      <x:c r="F23" t="s">
        <x:v>114</x:v>
      </x:c>
      <x:c r="H23" t="s">
        <x:v>250</x:v>
      </x:c>
      <x:c r="I23" t="s">
        <x:v>251</x:v>
      </x:c>
      <x:c r="AV23" t="b">
        <x:v>0</x:v>
      </x:c>
      <x:c r="AW23">
        <x:v>0</x:v>
      </x:c>
      <x:c r="AX23" t="b">
        <x:v>0</x:v>
      </x:c>
    </x:row>
    <x:row r="24">
      <x:c r="A24" t="s">
        <x:v>252</x:v>
      </x:c>
      <x:c r="B24" t="s">
        <x:v>123</x:v>
      </x:c>
      <x:c r="C24" t="s">
        <x:v>253</x:v>
      </x:c>
      <x:c r="D24" t="s">
        <x:v>254</x:v>
      </x:c>
      <x:c r="E24" t="s">
        <x:v>113</x:v>
      </x:c>
      <x:c r="F24" t="s">
        <x:v>114</x:v>
      </x:c>
      <x:c r="H24" t="s">
        <x:v>115</x:v>
      </x:c>
      <x:c r="J24" s="3">
        <x:v>0.003579937558328639</x:v>
      </x:c>
      <x:c r="K24" s="3">
        <x:v>0.02463925605274703</x:v>
      </x:c>
      <x:c r="L24" s="3">
        <x:v>2.956120581848094E-05</x:v>
      </x:c>
      <x:c r="M24" s="3">
        <x:v>0</x:v>
      </x:c>
      <x:c r="N24" s="3">
        <x:v>0.0003636565064997168</x:v>
      </x:c>
      <x:c r="O24" s="3">
        <x:v>0.004591155015327072</x:v>
      </x:c>
      <x:c r="P24" s="3">
        <x:v>0.1530482523178248</x:v>
      </x:c>
      <x:c r="Q24" s="3">
        <x:v>0.3702262102000943</x:v>
      </x:c>
      <x:c r="R24" s="3">
        <x:v>0.641249491936049</x:v>
      </x:c>
      <x:c r="S24" s="3">
        <x:v>0.369527185712914</x:v>
      </x:c>
      <x:c r="T24" s="3">
        <x:v>0.06026596690041662</x:v>
      </x:c>
      <x:c r="U24" s="3">
        <x:v>0.241870136432491</x:v>
      </x:c>
      <x:c r="V24" s="3">
        <x:v>0.4880133050789019</x:v>
      </x:c>
      <x:c r="W24" s="3">
        <x:v>0.7120391950448729</x:v>
      </x:c>
      <x:c r="X24" s="3">
        <x:v>0.4530970899244638</x:v>
      </x:c>
      <x:c r="Y24" s="4">
        <x:v>38.31830053357407</x:v>
      </x:c>
      <x:c r="Z24" s="4">
        <x:v>37.99387800245313</x:v>
      </x:c>
      <x:c r="AA24" s="4">
        <x:v>40.58728890195198</x:v>
      </x:c>
      <x:c r="AB24" s="4">
        <x:v>41.89420311253343</x:v>
      </x:c>
      <x:c r="AC24" s="4">
        <x:v>1.350905506114941</x:v>
      </x:c>
      <x:c r="AD24" s="4">
        <x:v>0.03007588318056845</x:v>
      </x:c>
      <x:c r="AE24" s="4">
        <x:v>0.005785330737058208</x:v>
      </x:c>
      <x:c r="AF24" s="4">
        <x:v>37.49497810702479</x:v>
      </x:c>
      <x:c r="AG24" s="4">
        <x:v>38.58850456295205</x:v>
      </x:c>
      <x:c r="AH24" s="4">
        <x:v>26.09719079591776</x:v>
      </x:c>
      <x:c r="AI24">
        <x:v>941561856</x:v>
      </x:c>
      <x:c r="AJ24">
        <x:v>1000341504</x:v>
      </x:c>
      <x:c r="AK24">
        <x:v>50411748</x:v>
      </x:c>
      <x:c r="AL24">
        <x:v>3</x:v>
      </x:c>
      <x:c r="AM24">
        <x:v>600</x:v>
      </x:c>
      <x:c r="AN24" t="s">
        <x:v>255</x:v>
      </x:c>
      <x:c r="AO24" t="s">
        <x:v>256</x:v>
      </x:c>
      <x:c r="AP24" t="s">
        <x:v>257</x:v>
      </x:c>
      <x:c r="AQ24">
        <x:v>437</x:v>
      </x:c>
      <x:c r="AR24">
        <x:v>87143</x:v>
      </x:c>
      <x:c r="AS24" t="s">
        <x:v>258</x:v>
      </x:c>
      <x:c r="AT24" t="s">
        <x:v>120</x:v>
      </x:c>
      <x:c r="AU24" t="s">
        <x:v>257</x:v>
      </x:c>
      <x:c r="AV24" t="b">
        <x:v>0</x:v>
      </x:c>
      <x:c r="AW24">
        <x:v>0</x:v>
      </x:c>
      <x:c r="AX24" t="b">
        <x:v>0</x:v>
      </x:c>
      <x:c r="AY24" s="5" t="s">
        <x:v>259</x:v>
      </x:c>
    </x:row>
    <x:row r="25">
      <x:c r="A25" t="s">
        <x:v>260</x:v>
      </x:c>
      <x:c r="B25" t="s">
        <x:v>123</x:v>
      </x:c>
      <x:c r="C25" t="s">
        <x:v>261</x:v>
      </x:c>
      <x:c r="D25" t="s">
        <x:v>241</x:v>
      </x:c>
      <x:c r="E25" t="s">
        <x:v>113</x:v>
      </x:c>
      <x:c r="F25" t="s">
        <x:v>114</x:v>
      </x:c>
      <x:c r="H25" t="s">
        <x:v>115</x:v>
      </x:c>
      <x:c r="J25" s="3">
        <x:v>0.7358042388753677</x:v>
      </x:c>
      <x:c r="K25" s="3">
        <x:v>0.9261660294816295</x:v>
      </x:c>
      <x:c r="L25" s="3">
        <x:v>0.7885085076235926</x:v>
      </x:c>
      <x:c r="M25" s="3">
        <x:v>0.3132475569035633</x:v>
      </x:c>
      <x:c r="N25" s="3">
        <x:v>0.6230129470482932</x:v>
      </x:c>
      <x:c r="O25" s="3">
        <x:v>0.8453054423820519</x:v>
      </x:c>
      <x:c r="P25" s="3">
        <x:v>0.8785573428423017</x:v>
      </x:c>
      <x:c r="Q25" s="3">
        <x:v>0.5980977119052601</x:v>
      </x:c>
      <x:c r="R25" s="3">
        <x:v>0.8354753117255568</x:v>
      </x:c>
      <x:c r="S25" s="3">
        <x:v>0.6445083437996416</x:v>
      </x:c>
      <x:c r="T25" s="3">
        <x:v>0.05716989240479664</x:v>
      </x:c>
      <x:c r="U25" s="3">
        <x:v>0.4763276766556206</x:v>
      </x:c>
      <x:c r="V25" s="3">
        <x:v>0.7075303640855063</x:v>
      </x:c>
      <x:c r="W25" s="3">
        <x:v>0.7281036911128285</x:v>
      </x:c>
      <x:c r="X25" s="3">
        <x:v>0.7101511148106762</x:v>
      </x:c>
      <x:c r="Y25" s="4">
        <x:v>43.52631385150744</x:v>
      </x:c>
      <x:c r="Z25" s="4">
        <x:v>43.33256249810802</x:v>
      </x:c>
      <x:c r="AA25" s="4">
        <x:v>45.66807684714149</x:v>
      </x:c>
      <x:c r="AB25" s="4">
        <x:v>46.64238819001184</x:v>
      </x:c>
      <x:c r="AC25" s="4">
        <x:v>1.72319224839157</x:v>
      </x:c>
      <x:c r="AD25" s="4">
        <x:v>0.02818790161281556</x:v>
      </x:c>
      <x:c r="AE25" s="4">
        <x:v>0.01058008836275545</x:v>
      </x:c>
      <x:c r="AF25" s="4">
        <x:v>42.15639998589338</x:v>
      </x:c>
      <x:c r="AG25" s="4">
        <x:v>44.43234334849048</x:v>
      </x:c>
      <x:c r="AH25" s="4">
        <x:v>22.97460803622283</x:v>
      </x:c>
      <x:c r="AI25">
        <x:v>941561856</x:v>
      </x:c>
      <x:c r="AJ25">
        <x:v>1000341504</x:v>
      </x:c>
      <x:c r="AK25">
        <x:v>117264652</x:v>
      </x:c>
      <x:c r="AL25">
        <x:v>3</x:v>
      </x:c>
      <x:c r="AM25">
        <x:v>600</x:v>
      </x:c>
      <x:c r="AN25" t="s">
        <x:v>262</x:v>
      </x:c>
      <x:c r="AO25" t="s">
        <x:v>263</x:v>
      </x:c>
      <x:c r="AP25" t="s">
        <x:v>264</x:v>
      </x:c>
      <x:c r="AQ25">
        <x:v>437</x:v>
      </x:c>
      <x:c r="AR25">
        <x:v>86451</x:v>
      </x:c>
      <x:c r="AS25" t="s">
        <x:v>265</x:v>
      </x:c>
      <x:c r="AT25" t="s">
        <x:v>120</x:v>
      </x:c>
      <x:c r="AU25" t="s">
        <x:v>264</x:v>
      </x:c>
      <x:c r="AV25" t="b">
        <x:v>0</x:v>
      </x:c>
      <x:c r="AW25">
        <x:v>0</x:v>
      </x:c>
      <x:c r="AX25" t="b">
        <x:v>0</x:v>
      </x:c>
      <x:c r="AY25" s="5" t="s">
        <x:v>266</x:v>
      </x:c>
    </x:row>
    <x:row r="26">
      <x:c r="A26" t="s">
        <x:v>267</x:v>
      </x:c>
      <x:c r="B26" t="s">
        <x:v>123</x:v>
      </x:c>
      <x:c r="C26" t="s">
        <x:v>268</x:v>
      </x:c>
      <x:c r="D26" t="s">
        <x:v>241</x:v>
      </x:c>
      <x:c r="E26" t="s">
        <x:v>113</x:v>
      </x:c>
      <x:c r="F26" t="s">
        <x:v>114</x:v>
      </x:c>
      <x:c r="H26" t="s">
        <x:v>115</x:v>
      </x:c>
      <x:c r="J26" s="3">
        <x:v>0.004075750906385281</x:v>
      </x:c>
      <x:c r="K26" s="3">
        <x:v>0.02632105834859388</x:v>
      </x:c>
      <x:c r="L26" s="3">
        <x:v>3.280462900814253E-05</x:v>
      </x:c>
      <x:c r="M26" s="3">
        <x:v>0</x:v>
      </x:c>
      <x:c r="N26" s="3">
        <x:v>0.001047208639101185</x:v>
      </x:c>
      <x:c r="O26" s="3">
        <x:v>0.004784310267092295</x:v>
      </x:c>
      <x:c r="P26" s="3">
        <x:v>0.1573423583917101</x:v>
      </x:c>
      <x:c r="Q26" s="3">
        <x:v>0.3540556583177658</x:v>
      </x:c>
      <x:c r="R26" s="3">
        <x:v>0.6221397382336707</x:v>
      </x:c>
      <x:c r="S26" s="3">
        <x:v>0.3449490319018853</x:v>
      </x:c>
      <x:c r="T26" s="3">
        <x:v>0.06344119453546188</x:v>
      </x:c>
      <x:c r="U26" s="3">
        <x:v>0.2412815429576418</x:v>
      </x:c>
      <x:c r="V26" s="3">
        <x:v>0.4786087998382951</x:v>
      </x:c>
      <x:c r="W26" s="3">
        <x:v>0.7179537218964126</x:v>
      </x:c>
      <x:c r="X26" s="3">
        <x:v>0.4565858431052821</x:v>
      </x:c>
      <x:c r="Y26" s="4">
        <x:v>39.64712893670367</x:v>
      </x:c>
      <x:c r="Z26" s="4">
        <x:v>39.40890300145838</x:v>
      </x:c>
      <x:c r="AA26" s="4">
        <x:v>41.52923119909246</x:v>
      </x:c>
      <x:c r="AB26" s="4">
        <x:v>43.24338190665002</x:v>
      </x:c>
      <x:c r="AC26" s="4">
        <x:v>1.077229000657098</x:v>
      </x:c>
      <x:c r="AD26" s="4">
        <x:v>0.02481942273896639</x:v>
      </x:c>
      <x:c r="AE26" s="4">
        <x:v>0.00231009321868161</x:v>
      </x:c>
      <x:c r="AF26" s="4">
        <x:v>39.19226420887004</x:v>
      </x:c>
      <x:c r="AG26" s="4">
        <x:v>39.64471379199032</x:v>
      </x:c>
      <x:c r="AH26" s="4">
        <x:v>25.22250732446458</x:v>
      </x:c>
      <x:c r="AI26">
        <x:v>941561856</x:v>
      </x:c>
      <x:c r="AJ26">
        <x:v>1000341504</x:v>
      </x:c>
      <x:c r="AK26">
        <x:v>67912876</x:v>
      </x:c>
      <x:c r="AL26">
        <x:v>3</x:v>
      </x:c>
      <x:c r="AM26">
        <x:v>600</x:v>
      </x:c>
      <x:c r="AN26" t="s">
        <x:v>269</x:v>
      </x:c>
      <x:c r="AO26" t="s">
        <x:v>270</x:v>
      </x:c>
      <x:c r="AP26" t="s">
        <x:v>271</x:v>
      </x:c>
      <x:c r="AQ26">
        <x:v>437</x:v>
      </x:c>
      <x:c r="AR26">
        <x:v>87153</x:v>
      </x:c>
      <x:c r="AS26" t="s">
        <x:v>272</x:v>
      </x:c>
      <x:c r="AT26" t="s">
        <x:v>120</x:v>
      </x:c>
      <x:c r="AU26" t="s">
        <x:v>271</x:v>
      </x:c>
      <x:c r="AV26" t="b">
        <x:v>0</x:v>
      </x:c>
      <x:c r="AW26">
        <x:v>0</x:v>
      </x:c>
      <x:c r="AX26" t="b">
        <x:v>0</x:v>
      </x:c>
      <x:c r="AY26" s="5" t="s">
        <x:v>273</x:v>
      </x:c>
    </x:row>
    <x:row r="27">
      <x:c r="A27" t="s">
        <x:v>274</x:v>
      </x:c>
      <x:c r="B27" t="s">
        <x:v>123</x:v>
      </x:c>
      <x:c r="C27" t="s">
        <x:v>261</x:v>
      </x:c>
      <x:c r="D27" t="s">
        <x:v>241</x:v>
      </x:c>
      <x:c r="E27" t="s">
        <x:v>113</x:v>
      </x:c>
      <x:c r="F27" t="s">
        <x:v>114</x:v>
      </x:c>
      <x:c r="H27" t="s">
        <x:v>115</x:v>
      </x:c>
      <x:c r="J27" s="3">
        <x:v>0.02816209624061215</x:v>
      </x:c>
      <x:c r="K27" s="3">
        <x:v>0.1390114046685989</x:v>
      </x:c>
      <x:c r="L27" s="3">
        <x:v>0.001284555592169983</x:v>
      </x:c>
      <x:c r="M27" s="3">
        <x:v>0.01115779790037216</x:v>
      </x:c>
      <x:c r="N27" s="3">
        <x:v>0.004452638592516479</x:v>
      </x:c>
      <x:c r="O27" s="3">
        <x:v>0.03529572100303952</x:v>
      </x:c>
      <x:c r="P27" s="3">
        <x:v>0.3569541935012003</x:v>
      </x:c>
      <x:c r="Q27" s="3">
        <x:v>0.3579247452931818</x:v>
      </x:c>
      <x:c r="R27" s="3">
        <x:v>0.6020312130357469</x:v>
      </x:c>
      <x:c r="S27" s="3">
        <x:v>0.3598637251167136</x:v>
      </x:c>
      <x:c r="T27" s="3">
        <x:v>0.05666074016226249</x:v>
      </x:c>
      <x:c r="U27" s="3">
        <x:v>0.204668338892379</x:v>
      </x:c>
      <x:c r="V27" s="3">
        <x:v>0.481713062758056</x:v>
      </x:c>
      <x:c r="W27" s="3">
        <x:v>0.7239729530299054</x:v>
      </x:c>
      <x:c r="X27" s="3">
        <x:v>0.4289259857653336</x:v>
      </x:c>
      <x:c r="Y27" s="4">
        <x:v>38.5976904031971</x:v>
      </x:c>
      <x:c r="Z27" s="4">
        <x:v>38.29855150252115</x:v>
      </x:c>
      <x:c r="AA27" s="4">
        <x:v>40.82614890357945</x:v>
      </x:c>
      <x:c r="AB27" s="4">
        <x:v>41.82187388847524</x:v>
      </x:c>
      <x:c r="AC27" s="4">
        <x:v>1.274872254725778</x:v>
      </x:c>
      <x:c r="AD27" s="4">
        <x:v>0.03135598011770795</x:v>
      </x:c>
      <x:c r="AE27" s="4">
        <x:v>0.008880378632809048</x:v>
      </x:c>
      <x:c r="AF27" s="4">
        <x:v>37.53411956583137</x:v>
      </x:c>
      <x:c r="AG27" s="4">
        <x:v>39.22762676941942</x:v>
      </x:c>
      <x:c r="AH27" s="4">
        <x:v>25.90828595063213</x:v>
      </x:c>
      <x:c r="AI27">
        <x:v>941561856</x:v>
      </x:c>
      <x:c r="AJ27">
        <x:v>1000341504</x:v>
      </x:c>
      <x:c r="AK27">
        <x:v>55561316</x:v>
      </x:c>
      <x:c r="AL27">
        <x:v>3</x:v>
      </x:c>
      <x:c r="AM27">
        <x:v>600</x:v>
      </x:c>
      <x:c r="AN27" t="s">
        <x:v>275</x:v>
      </x:c>
      <x:c r="AO27" t="s">
        <x:v>276</x:v>
      </x:c>
      <x:c r="AP27" t="s">
        <x:v>277</x:v>
      </x:c>
      <x:c r="AQ27">
        <x:v>437</x:v>
      </x:c>
      <x:c r="AR27">
        <x:v>87112</x:v>
      </x:c>
      <x:c r="AS27" t="s">
        <x:v>278</x:v>
      </x:c>
      <x:c r="AT27" t="s">
        <x:v>120</x:v>
      </x:c>
      <x:c r="AU27" t="s">
        <x:v>277</x:v>
      </x:c>
      <x:c r="AV27" t="b">
        <x:v>0</x:v>
      </x:c>
      <x:c r="AW27">
        <x:v>0</x:v>
      </x:c>
      <x:c r="AX27" t="b">
        <x:v>0</x:v>
      </x:c>
      <x:c r="AY27" s="5" t="s">
        <x:v>279</x:v>
      </x:c>
    </x:row>
  </x:sheetData>
  <x:pageMargins left="0.7" right="0.7" top="0.75" bottom="0.75" header="0.3" footer="0.3"/>
  <x:tableParts count="1">
    <x:tablePart xmlns:r="http://schemas.openxmlformats.org/officeDocument/2006/relationships" r:id="Raa5dc0ab64a547e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2" width="11.7109375" customWidth="1"/>
    <x:col min="3" max="3" width="40.7109375" customWidth="1"/>
    <x:col min="4" max="5" width="15.7109375" customWidth="1"/>
    <x:col min="6" max="8" width="14.7109375" style="3" customWidth="1"/>
    <x:col min="9" max="11" width="14.7109375" style="6" customWidth="1"/>
    <x:col min="12" max="15" width="14.7109375" style="4" customWidth="1"/>
    <x:col min="16" max="16" width="14.7109375" style="7" customWidth="1"/>
    <x:col min="17" max="20" width="16.7109375" style="4" customWidth="1"/>
    <x:col min="21" max="21" width="15.7109375" style="7" customWidth="1"/>
    <x:col min="22" max="22" width="12.7109375" style="4" customWidth="1"/>
    <x:col min="23" max="24" width="15.7109375" style="7" customWidth="1"/>
    <x:col min="25" max="29" width="13.7109375" customWidth="1"/>
    <x:col min="30" max="30" width="18.7109375" customWidth="1"/>
    <x:col min="31" max="31" width="42.7109375" style="5" customWidth="1"/>
    <x:col min="32" max="33" width="15.7109375" customWidth="1"/>
    <x:col min="34" max="35" width="18.7109375" customWidth="1"/>
  </x:cols>
  <x:sheetData>
    <x:row r="1" s="1" customFormat="1" ht="42" customHeight="1">
      <x:c r="A1" s="1" t="s">
        <x:v>60</x:v>
      </x:c>
      <x:c r="B1" s="1" t="s">
        <x:v>280</x:v>
      </x:c>
      <x:c r="C1" s="1" t="s">
        <x:v>281</x:v>
      </x:c>
      <x:c r="D1" s="1" t="s">
        <x:v>63</x:v>
      </x:c>
      <x:c r="E1" s="1" t="s">
        <x:v>67</x:v>
      </x:c>
      <x:c r="F1" s="1" t="s">
        <x:v>69</x:v>
      </x:c>
      <x:c r="G1" s="1" t="s">
        <x:v>36</x:v>
      </x:c>
      <x:c r="H1" s="1" t="s">
        <x:v>52</x:v>
      </x:c>
      <x:c r="I1" s="1" t="s">
        <x:v>282</x:v>
      </x:c>
      <x:c r="J1" s="1" t="s">
        <x:v>283</x:v>
      </x:c>
      <x:c r="K1" s="1" t="s">
        <x:v>284</x:v>
      </x:c>
      <x:c r="L1" s="1" t="s">
        <x:v>83</x:v>
      </x:c>
      <x:c r="M1" s="1" t="s">
        <x:v>84</x:v>
      </x:c>
      <x:c r="N1" s="1" t="s">
        <x:v>85</x:v>
      </x:c>
      <x:c r="O1" s="1" t="s">
        <x:v>91</x:v>
      </x:c>
      <x:c r="P1" s="1" t="s">
        <x:v>88</x:v>
      </x:c>
      <x:c r="Q1" s="1" t="s">
        <x:v>285</x:v>
      </x:c>
      <x:c r="R1" s="1" t="s">
        <x:v>286</x:v>
      </x:c>
      <x:c r="S1" s="1" t="s">
        <x:v>287</x:v>
      </x:c>
      <x:c r="T1" s="1" t="s">
        <x:v>288</x:v>
      </x:c>
      <x:c r="U1" s="1" t="s">
        <x:v>289</x:v>
      </x:c>
      <x:c r="V1" s="1" t="s">
        <x:v>290</x:v>
      </x:c>
      <x:c r="W1" s="1" t="s">
        <x:v>291</x:v>
      </x:c>
      <x:c r="X1" s="1" t="s">
        <x:v>292</x:v>
      </x:c>
      <x:c r="Y1" s="1" t="s">
        <x:v>293</x:v>
      </x:c>
      <x:c r="Z1" s="1" t="s">
        <x:v>294</x:v>
      </x:c>
      <x:c r="AA1" s="1" t="s">
        <x:v>295</x:v>
      </x:c>
      <x:c r="AB1" s="1" t="s">
        <x:v>296</x:v>
      </x:c>
      <x:c r="AC1" s="1" t="s">
        <x:v>297</x:v>
      </x:c>
      <x:c r="AD1" s="1" t="s">
        <x:v>298</x:v>
      </x:c>
      <x:c r="AE1" s="1" t="s">
        <x:v>299</x:v>
      </x:c>
      <x:c r="AF1" s="1" t="s">
        <x:v>300</x:v>
      </x:c>
      <x:c r="AG1" s="1" t="s">
        <x:v>301</x:v>
      </x:c>
      <x:c r="AH1" s="1" t="s">
        <x:v>105</x:v>
      </x:c>
      <x:c r="AI1" s="1" t="s">
        <x:v>107</x:v>
      </x:c>
    </x:row>
    <x:row r="2">
      <x:c r="A2" t="str">
        <x:f>'원시결과'!A2</x:f>
        <x:v>B01</x:v>
      </x:c>
      <x:c r="B2" t="str">
        <x:f>'원시결과'!B2</x:f>
        <x:v>baseline</x:v>
      </x:c>
      <x:c r="C2" t="str">
        <x:f>'원시결과'!C2</x:f>
        <x:v>none</x:v>
      </x:c>
      <x:c r="D2" t="str">
        <x:f>'원시결과'!D2</x:f>
        <x:v>fp32</x:v>
      </x:c>
      <x:c r="E2" t="str">
        <x:f>'원시결과'!H2</x:f>
        <x:v>완료</x:v>
      </x:c>
      <x:c r="F2" s="3" t="n">
        <x:f>IF('원시결과'!J2="","",'원시결과'!J2)</x:f>
        <x:v>0.7378589271657685</x:v>
      </x:c>
      <x:c r="G2" s="3" t="n">
        <x:f>IF('원시결과'!Q2="","",'원시결과'!Q2)</x:f>
        <x:v>0.6026426958851505</x:v>
      </x:c>
      <x:c r="H2" s="3" t="n">
        <x:f>IF('원시결과'!X2="","",'원시결과'!X2)</x:f>
        <x:v>0.7120070817052193</x:v>
      </x:c>
      <x:c r="I2" s="6" t="n">
        <x:f>IF(F2="","",F2-INDEX(F$2:F$23,MATCH("B01",$A$2:$A$23,0)))</x:f>
        <x:v>0</x:v>
      </x:c>
      <x:c r="J2" s="6" t="n">
        <x:f>IF(G2="","",G2-INDEX(G$2:G$23,MATCH("B01",$A$2:$A$23,0)))</x:f>
        <x:v>0</x:v>
      </x:c>
      <x:c r="K2" s="6" t="n">
        <x:f>IF(H2="","",H2-INDEX(H$2:H$23,MATCH("B01",$A$2:$A$23,0)))</x:f>
        <x:v>0</x:v>
      </x:c>
      <x:c r="L2" s="4" t="n">
        <x:f>IF('원시결과'!Z2="","",'원시결과'!Z2)</x:f>
        <x:v>45.82025699710357</x:v>
      </x:c>
      <x:c r="M2" s="4" t="n">
        <x:f>IF('원시결과'!AA2="","",'원시결과'!AA2)</x:f>
        <x:v>48.56151670392137</x:v>
      </x:c>
      <x:c r="N2" s="4" t="n">
        <x:f>IF('원시결과'!AB2="","",'원시결과'!AB2)</x:f>
        <x:v>49.34060668594611</x:v>
      </x:c>
      <x:c r="O2" s="4" t="n">
        <x:f>IF('원시결과'!AH2="","",'원시결과'!AH2)</x:f>
        <x:v>21.72866347161042</x:v>
      </x:c>
      <x:c r="P2" s="7" t="n">
        <x:f>IF('원시결과'!AE2="","",'원시결과'!AE2)</x:f>
        <x:v>0.001230759025871806</x:v>
      </x:c>
      <x:c r="Q2" s="4" t="n">
        <x:f>IF('원시결과'!AF2="","",'원시결과'!AF2)</x:f>
        <x:v>45.66059531378848</x:v>
      </x:c>
      <x:c r="R2" s="4" t="n">
        <x:f>IF('원시결과'!AG2="","",'원시결과'!AG2)</x:f>
        <x:v>45.94067735038021</x:v>
      </x:c>
      <x:c r="S2" s="8" t="n">
        <x:f>IF('원시결과'!AI2="","",'원시결과'!AI2/1048576)</x:f>
        <x:v>897.943359375</x:v>
      </x:c>
      <x:c r="T2" s="8" t="n">
        <x:f>IF('원시결과'!AK2="","",'원시결과'!AK2/1048576)</x:f>
        <x:v>129.33994674682617</x:v>
      </x:c>
      <x:c r="U2" s="7" t="n">
        <x:f>IF(L2="","",(INDEX(L$2:L$23,MATCH("B01",$A$2:$A$23,0))-L2)/INDEX(L$2:L$23,MATCH("B01",$A$2:$A$23,0)))</x:f>
        <x:v>0</x:v>
      </x:c>
      <x:c r="V2" s="4" t="n">
        <x:f>IF(L2="","",INDEX(L$2:L$23,MATCH("B01",$A$2:$A$23,0))/L2)</x:f>
        <x:v>1</x:v>
      </x:c>
      <x:c r="W2" s="7" t="n">
        <x:f>IF(S2="","",(INDEX(S$2:S$23,MATCH("B01",$A$2:$A$23,0))-S2)/INDEX(S$2:S$23,MATCH("B01",$A$2:$A$23,0)))</x:f>
        <x:v>0</x:v>
      </x:c>
      <x:c r="X2" s="7" t="n">
        <x:f>IF(T2="","",(INDEX(T$2:T$23,MATCH("B01",$A$2:$A$23,0))-T2)/INDEX(T$2:T$23,MATCH("B01",$A$2:$A$23,0)))</x:f>
        <x:v>0</x:v>
      </x:c>
      <x:c r="Y2" t="b">
        <x:v>1</x:v>
      </x:c>
      <x:c r="Z2" t="b">
        <x:f>AND(I2&gt;=-'평가기준'!$B$10,J2&gt;=-'평가기준'!$B$11,K2&gt;=-'평가기준'!$B$12)</x:f>
        <x:v>1</x:v>
      </x:c>
      <x:c r="AA2" t="b">
        <x:f>AND(Y2,Z2)</x:f>
        <x:v>1</x:v>
      </x:c>
      <x:c r="AB2" t="b">
        <x:v>0</x:v>
      </x:c>
      <x:c r="AC2" t="b">
        <x:f>P2&gt;'평가기준'!$B$9</x:f>
        <x:v>0</x:v>
      </x:c>
      <x:c r="AD2" t="b">
        <x:f>AND(Y2,M2&gt;'평가기준'!$B$14)</x:f>
        <x:v>1</x:v>
      </x:c>
      <x:c r="AE2" s="5"/>
      <x:c r="AF2" t="b">
        <x:f>AND(Y2,L2&lt;='평가기준'!$B$14)</x:f>
        <x:v>0</x:v>
      </x:c>
      <x:c r="AG2" t="b">
        <x:f>AND(AB2,AF2,NOT(AI2))</x:f>
        <x:v>0</x:v>
      </x:c>
      <x:c r="AH2" t="b">
        <x:v>0</x:v>
      </x:c>
      <x:c r="AI2" t="b">
        <x:v>0</x:v>
      </x:c>
    </x:row>
    <x:row r="3">
      <x:c r="A3" t="str">
        <x:f>'원시결과'!A3</x:f>
        <x:v>B02</x:v>
      </x:c>
      <x:c r="B3" t="str">
        <x:f>'원시결과'!B3</x:f>
        <x:v>precision</x:v>
      </x:c>
      <x:c r="C3" t="str">
        <x:f>'원시결과'!C3</x:f>
        <x:v>tensorrt-fp16</x:v>
      </x:c>
      <x:c r="D3" t="str">
        <x:f>'원시결과'!D3</x:f>
        <x:v>fp16</x:v>
      </x:c>
      <x:c r="E3" t="str">
        <x:f>'원시결과'!H3</x:f>
        <x:v>완료</x:v>
      </x:c>
      <x:c r="F3" s="3" t="n">
        <x:f>IF('원시결과'!J3="","",'원시결과'!J3)</x:f>
        <x:v>0.7415530084406021</x:v>
      </x:c>
      <x:c r="G3" s="3" t="n">
        <x:f>IF('원시결과'!Q3="","",'원시결과'!Q3)</x:f>
        <x:v>0.6017216878776938</x:v>
      </x:c>
      <x:c r="H3" s="3" t="n">
        <x:f>IF('원시결과'!X3="","",'원시결과'!X3)</x:f>
        <x:v>0.7138475799724896</x:v>
      </x:c>
      <x:c r="I3" s="6" t="n">
        <x:f>IF(F3="","",F3-INDEX(F$2:F$23,MATCH("B01",$A$2:$A$23,0)))</x:f>
        <x:v>0.003694081274833616</x:v>
      </x:c>
      <x:c r="J3" s="6" t="n">
        <x:f>IF(G3="","",G3-INDEX(G$2:G$23,MATCH("B01",$A$2:$A$23,0)))</x:f>
        <x:v>-0.0009210080074567584</x:v>
      </x:c>
      <x:c r="K3" s="6" t="n">
        <x:f>IF(H3="","",H3-INDEX(H$2:H$23,MATCH("B01",$A$2:$A$23,0)))</x:f>
        <x:v>0.0018404982672702852</x:v>
      </x:c>
      <x:c r="L3" s="4" t="n">
        <x:f>IF('원시결과'!Z3="","",'원시결과'!Z3)</x:f>
        <x:v>25.77521049897769</x:v>
      </x:c>
      <x:c r="M3" s="4" t="n">
        <x:f>IF('원시결과'!AA3="","",'원시결과'!AA3)</x:f>
        <x:v>28.13015554893354</x:v>
      </x:c>
      <x:c r="N3" s="4" t="n">
        <x:f>IF('원시결과'!AB3="","",'원시결과'!AB3)</x:f>
        <x:v>29.3213011570333</x:v>
      </x:c>
      <x:c r="O3" s="4" t="n">
        <x:f>IF('원시결과'!AH3="","",'원시결과'!AH3)</x:f>
        <x:v>38.40285218774443</x:v>
      </x:c>
      <x:c r="P3" s="7" t="n">
        <x:f>IF('원시결과'!AE3="","",'원시결과'!AE3)</x:f>
        <x:v>0.02875807441561402</x:v>
      </x:c>
      <x:c r="Q3" s="4" t="n">
        <x:f>IF('원시결과'!AF3="","",'원시결과'!AF3)</x:f>
        <x:v>24.07314669636069</x:v>
      </x:c>
      <x:c r="R3" s="4" t="n">
        <x:f>IF('원시결과'!AG3="","",'원시결과'!AG3)</x:f>
        <x:v>27.77761297286575</x:v>
      </x:c>
      <x:c r="S3" s="8" t="n">
        <x:f>IF('원시결과'!AI3="","",'원시결과'!AI3/1048576)</x:f>
        <x:v>897.943359375</x:v>
      </x:c>
      <x:c r="T3" s="8" t="n">
        <x:f>IF('원시결과'!AK3="","",'원시결과'!AK3/1048576)</x:f>
        <x:v>67.94259262084961</x:v>
      </x:c>
      <x:c r="U3" s="7" t="n">
        <x:f>IF(L3="","",(INDEX(L$2:L$23,MATCH("B01",$A$2:$A$23,0))-L3)/INDEX(L$2:L$23,MATCH("B01",$A$2:$A$23,0)))</x:f>
        <x:v>0.437471280429374</x:v>
      </x:c>
      <x:c r="V3" s="4" t="n">
        <x:f>IF(L3="","",INDEX(L$2:L$23,MATCH("B01",$A$2:$A$23,0))/L3)</x:f>
        <x:v>1.7776870143862034</x:v>
      </x:c>
      <x:c r="W3" s="7" t="n">
        <x:f>IF(S3="","",(INDEX(S$2:S$23,MATCH("B01",$A$2:$A$23,0))-S3)/INDEX(S$2:S$23,MATCH("B01",$A$2:$A$23,0)))</x:f>
        <x:v>0</x:v>
      </x:c>
      <x:c r="X3" s="7" t="n">
        <x:f>IF(T3="","",(INDEX(T$2:T$23,MATCH("B01",$A$2:$A$23,0))-T3)/INDEX(T$2:T$23,MATCH("B01",$A$2:$A$23,0)))</x:f>
        <x:v>0.47469753676455084</x:v>
      </x:c>
      <x:c r="Y3" t="b">
        <x:v>1</x:v>
      </x:c>
      <x:c r="Z3" t="b">
        <x:f>AND(I3&gt;=-'평가기준'!$B$10,J3&gt;=-'평가기준'!$B$11,K3&gt;=-'평가기준'!$B$12)</x:f>
        <x:v>1</x:v>
      </x:c>
      <x:c r="AA3" t="b">
        <x:f>AND(Y3,Z3)</x:f>
        <x:v>1</x:v>
      </x:c>
      <x:c r="AB3" t="b">
        <x:v>0</x:v>
      </x:c>
      <x:c r="AC3" t="b">
        <x:f>P3&gt;'평가기준'!$B$9</x:f>
        <x:v>0</x:v>
      </x:c>
      <x:c r="AD3" t="b">
        <x:f>AND(Y3,M3&gt;'평가기준'!$B$14)</x:f>
        <x:v>0</x:v>
      </x:c>
      <x:c r="AE3" s="5"/>
      <x:c r="AF3" t="b">
        <x:f>AND(Y3,L3&lt;='평가기준'!$B$14)</x:f>
        <x:v>1</x:v>
      </x:c>
      <x:c r="AG3" t="b">
        <x:f>AND(AB3,AF3,NOT(AI3))</x:f>
        <x:v>0</x:v>
      </x:c>
      <x:c r="AH3" t="b">
        <x:v>0</x:v>
      </x:c>
      <x:c r="AI3" t="b">
        <x:v>0</x:v>
      </x:c>
    </x:row>
    <x:row r="4">
      <x:c r="A4" t="str">
        <x:f>'원시결과'!A4</x:f>
        <x:v>B03</x:v>
      </x:c>
      <x:c r="B4" t="str">
        <x:f>'원시결과'!B4</x:f>
        <x:v>precision</x:v>
      </x:c>
      <x:c r="C4" t="str">
        <x:f>'원시결과'!C4</x:f>
        <x:v>tensorrt-int8-ptq</x:v>
      </x:c>
      <x:c r="D4" t="str">
        <x:f>'원시결과'!D4</x:f>
        <x:v>int8</x:v>
      </x:c>
      <x:c r="E4" t="str">
        <x:f>'원시결과'!H4</x:f>
        <x:v>완료</x:v>
      </x:c>
      <x:c r="F4" s="3" t="n">
        <x:f>IF('원시결과'!J4="","",'원시결과'!J4)</x:f>
        <x:v>0.7421901253864573</x:v>
      </x:c>
      <x:c r="G4" s="3" t="n">
        <x:f>IF('원시결과'!Q4="","",'원시결과'!Q4)</x:f>
        <x:v>0.602749828431408</x:v>
      </x:c>
      <x:c r="H4" s="3" t="n">
        <x:f>IF('원시결과'!X4="","",'원시결과'!X4)</x:f>
        <x:v>0.712443682711115</x:v>
      </x:c>
      <x:c r="I4" s="6" t="n">
        <x:f>IF(F4="","",F4-INDEX(F$2:F$23,MATCH("B01",$A$2:$A$23,0)))</x:f>
        <x:v>0.004331198220688837</x:v>
      </x:c>
      <x:c r="J4" s="6" t="n">
        <x:f>IF(G4="","",G4-INDEX(G$2:G$23,MATCH("B01",$A$2:$A$23,0)))</x:f>
        <x:v>0.00010713254625749347</x:v>
      </x:c>
      <x:c r="K4" s="6" t="n">
        <x:f>IF(H4="","",H4-INDEX(H$2:H$23,MATCH("B01",$A$2:$A$23,0)))</x:f>
        <x:v>0.00043660100589570927</x:v>
      </x:c>
      <x:c r="L4" s="4" t="n">
        <x:f>IF('원시결과'!Z4="","",'원시결과'!Z4)</x:f>
        <x:v>25.36000149848405</x:v>
      </x:c>
      <x:c r="M4" s="4" t="n">
        <x:f>IF('원시결과'!AA4="","",'원시결과'!AA4)</x:f>
        <x:v>27.90341525142139</x:v>
      </x:c>
      <x:c r="N4" s="4" t="n">
        <x:f>IF('원시결과'!AB4="","",'원시결과'!AB4)</x:f>
        <x:v>29.42401655709545</x:v>
      </x:c>
      <x:c r="O4" s="4" t="n">
        <x:f>IF('원시결과'!AH4="","",'원시결과'!AH4)</x:f>
        <x:v>38.91667153479839</x:v>
      </x:c>
      <x:c r="P4" s="7" t="n">
        <x:f>IF('원시결과'!AE4="","",'원시결과'!AE4)</x:f>
        <x:v>0.02264303164311767</x:v>
      </x:c>
      <x:c r="Q4" s="4" t="n">
        <x:f>IF('원시결과'!AF4="","",'원시결과'!AF4)</x:f>
        <x:v>24.03858758434517</x:v>
      </x:c>
      <x:c r="R4" s="4" t="n">
        <x:f>IF('원시결과'!AG4="","",'원시결과'!AG4)</x:f>
        <x:v>26.90427374761145</x:v>
      </x:c>
      <x:c r="S4" s="8" t="n">
        <x:f>IF('원시결과'!AI4="","",'원시결과'!AI4/1048576)</x:f>
        <x:v>897.943359375</x:v>
      </x:c>
      <x:c r="T4" s="8" t="n">
        <x:f>IF('원시결과'!AK4="","",'원시결과'!AK4/1048576)</x:f>
        <x:v>68.00632095336914</x:v>
      </x:c>
      <x:c r="U4" s="7" t="n">
        <x:f>IF(L4="","",(INDEX(L$2:L$23,MATCH("B01",$A$2:$A$23,0))-L4)/INDEX(L$2:L$23,MATCH("B01",$A$2:$A$23,0)))</x:f>
        <x:v>0.44653297121211855</x:v>
      </x:c>
      <x:c r="V4" s="4" t="n">
        <x:f>IF(L4="","",INDEX(L$2:L$23,MATCH("B01",$A$2:$A$23,0))/L4)</x:f>
        <x:v>1.806792361579418</x:v>
      </x:c>
      <x:c r="W4" s="7" t="n">
        <x:f>IF(S4="","",(INDEX(S$2:S$23,MATCH("B01",$A$2:$A$23,0))-S4)/INDEX(S$2:S$23,MATCH("B01",$A$2:$A$23,0)))</x:f>
        <x:v>0</x:v>
      </x:c>
      <x:c r="X4" s="7" t="n">
        <x:f>IF(T4="","",(INDEX(T$2:T$23,MATCH("B01",$A$2:$A$23,0))-T4)/INDEX(T$2:T$23,MATCH("B01",$A$2:$A$23,0)))</x:f>
        <x:v>0.4742048171205241</x:v>
      </x:c>
      <x:c r="Y4" t="b">
        <x:v>1</x:v>
      </x:c>
      <x:c r="Z4" t="b">
        <x:f>AND(I4&gt;=-'평가기준'!$B$10,J4&gt;=-'평가기준'!$B$11,K4&gt;=-'평가기준'!$B$12)</x:f>
        <x:v>1</x:v>
      </x:c>
      <x:c r="AA4" t="b">
        <x:f>AND(Y4,Z4)</x:f>
        <x:v>1</x:v>
      </x:c>
      <x:c r="AB4" t="b">
        <x:v>0</x:v>
      </x:c>
      <x:c r="AC4" t="b">
        <x:f>P4&gt;'평가기준'!$B$9</x:f>
        <x:v>0</x:v>
      </x:c>
      <x:c r="AD4" t="b">
        <x:f>AND(Y4,M4&gt;'평가기준'!$B$14)</x:f>
        <x:v>0</x:v>
      </x:c>
      <x:c r="AE4" s="5"/>
      <x:c r="AF4" t="b">
        <x:f>AND(Y4,L4&lt;='평가기준'!$B$14)</x:f>
        <x:v>1</x:v>
      </x:c>
      <x:c r="AG4" t="b">
        <x:f>AND(AB4,AF4,NOT(AI4))</x:f>
        <x:v>0</x:v>
      </x:c>
      <x:c r="AH4" t="b">
        <x:v>0</x:v>
      </x:c>
      <x:c r="AI4" t="b">
        <x:v>0</x:v>
      </x:c>
    </x:row>
    <x:row r="5">
      <x:c r="A5" t="str">
        <x:f>'원시결과'!A8</x:f>
        <x:v>M01</x:v>
      </x:c>
      <x:c r="B5" t="str">
        <x:f>'원시결과'!B8</x:f>
        <x:v>semi-structured</x:v>
      </x:c>
      <x:c r="C5" t="str">
        <x:f>'원시결과'!C8</x:f>
        <x:v>nvidia-2to4</x:v>
      </x:c>
      <x:c r="D5" t="str">
        <x:f>'원시결과'!D8</x:f>
        <x:v>fp16</x:v>
      </x:c>
      <x:c r="E5" t="str">
        <x:f>'원시결과'!H8</x:f>
        <x:v>완료</x:v>
      </x:c>
      <x:c r="F5" s="3" t="n">
        <x:f>IF('원시결과'!J8="","",'원시결과'!J8)</x:f>
        <x:v>0.6345828690273081</x:v>
      </x:c>
      <x:c r="G5" s="3" t="n">
        <x:f>IF('원시결과'!Q8="","",'원시결과'!Q8)</x:f>
        <x:v>0.517988143310128</x:v>
      </x:c>
      <x:c r="H5" s="3" t="n">
        <x:f>IF('원시결과'!X8="","",'원시결과'!X8)</x:f>
        <x:v>0.6826235848602537</x:v>
      </x:c>
      <x:c r="I5" s="6" t="n">
        <x:f>IF(F5="","",F5-INDEX(F$2:F$23,MATCH("B01",$A$2:$A$23,0)))</x:f>
        <x:v>-0.10327605813846041</x:v>
      </x:c>
      <x:c r="J5" s="6" t="n">
        <x:f>IF(G5="","",G5-INDEX(G$2:G$23,MATCH("B01",$A$2:$A$23,0)))</x:f>
        <x:v>-0.08465455257502252</x:v>
      </x:c>
      <x:c r="K5" s="6" t="n">
        <x:f>IF(H5="","",H5-INDEX(H$2:H$23,MATCH("B01",$A$2:$A$23,0)))</x:f>
        <x:v>-0.029383496844965662</x:v>
      </x:c>
      <x:c r="L5" s="4" t="n">
        <x:f>IF('원시결과'!Z8="","",'원시결과'!Z8)</x:f>
        <x:v>25.38651549912174</x:v>
      </x:c>
      <x:c r="M5" s="4" t="n">
        <x:f>IF('원시결과'!AA8="","",'원시결과'!AA8)</x:f>
        <x:v>27.63004189873755</x:v>
      </x:c>
      <x:c r="N5" s="4" t="n">
        <x:f>IF('원시결과'!AB8="","",'원시결과'!AB8)</x:f>
        <x:v>28.27079090340703</x:v>
      </x:c>
      <x:c r="O5" s="4" t="n">
        <x:f>IF('원시결과'!AH8="","",'원시결과'!AH8)</x:f>
        <x:v>39.00358292706424</x:v>
      </x:c>
      <x:c r="P5" s="7" t="n">
        <x:f>IF('원시결과'!AE8="","",'원시결과'!AE8)</x:f>
        <x:v>0.009584037272303062</x:v>
      </x:c>
      <x:c r="Q5" s="4" t="n">
        <x:f>IF('원시결과'!AF8="","",'원시결과'!AF8)</x:f>
        <x:v>24.79342111522205</x:v>
      </x:c>
      <x:c r="R5" s="4" t="n">
        <x:f>IF('원시결과'!AG8="","",'원시결과'!AG8)</x:f>
        <x:v>26.00288054915505</x:v>
      </x:c>
      <x:c r="S5" s="8" t="n">
        <x:f>IF('원시결과'!AI8="","",'원시결과'!AI8/1048576)</x:f>
        <x:v>897.943359375</x:v>
      </x:c>
      <x:c r="T5" s="8" t="n">
        <x:f>IF('원시결과'!AK8="","",'원시결과'!AK8/1048576)</x:f>
        <x:v>67.89997482299805</x:v>
      </x:c>
      <x:c r="U5" s="7" t="n">
        <x:f>IF(L5="","",(INDEX(L$2:L$23,MATCH("B01",$A$2:$A$23,0))-L5)/INDEX(L$2:L$23,MATCH("B01",$A$2:$A$23,0)))</x:f>
        <x:v>0.44595431883486614</x:v>
      </x:c>
      <x:c r="V5" s="4" t="n">
        <x:f>IF(L5="","",INDEX(L$2:L$23,MATCH("B01",$A$2:$A$23,0))/L5)</x:f>
        <x:v>1.8049053245881164</x:v>
      </x:c>
      <x:c r="W5" s="7" t="n">
        <x:f>IF(S5="","",(INDEX(S$2:S$23,MATCH("B01",$A$2:$A$23,0))-S5)/INDEX(S$2:S$23,MATCH("B01",$A$2:$A$23,0)))</x:f>
        <x:v>0</x:v>
      </x:c>
      <x:c r="X5" s="7" t="n">
        <x:f>IF(T5="","",(INDEX(T$2:T$23,MATCH("B01",$A$2:$A$23,0))-T5)/INDEX(T$2:T$23,MATCH("B01",$A$2:$A$23,0)))</x:f>
        <x:v>0.4750270389711273</x:v>
      </x:c>
      <x:c r="Y5" t="b">
        <x:v>1</x:v>
      </x:c>
      <x:c r="Z5" t="b">
        <x:f>AND(I5&gt;=-'평가기준'!$B$10,J5&gt;=-'평가기준'!$B$11,K5&gt;=-'평가기준'!$B$12)</x:f>
        <x:v>0</x:v>
      </x:c>
      <x:c r="AA5" t="b">
        <x:f>AND(Y5,Z5)</x:f>
        <x:v>0</x:v>
      </x:c>
      <x:c r="AB5" t="b">
        <x:v>0</x:v>
      </x:c>
      <x:c r="AC5" t="b">
        <x:f>P5&gt;'평가기준'!$B$9</x:f>
        <x:v>0</x:v>
      </x:c>
      <x:c r="AD5" t="b">
        <x:f>AND(Y5,M5&gt;'평가기준'!$B$14)</x:f>
        <x:v>0</x:v>
      </x:c>
      <x:c r="AE5" s="5" t="s">
        <x:v>302</x:v>
      </x:c>
      <x:c r="AF5" t="b">
        <x:f>AND(Y5,L5&lt;='평가기준'!$B$14)</x:f>
        <x:v>1</x:v>
      </x:c>
      <x:c r="AG5" t="b">
        <x:f>AND(AB5,AF5,NOT(AI5))</x:f>
        <x:v>0</x:v>
      </x:c>
      <x:c r="AH5" t="b">
        <x:v>0</x:v>
      </x:c>
      <x:c r="AI5" t="b">
        <x:v>0</x:v>
      </x:c>
    </x:row>
    <x:row r="6">
      <x:c r="A6" t="str">
        <x:f>'원시결과'!A9</x:f>
        <x:v>M02</x:v>
      </x:c>
      <x:c r="B6" t="str">
        <x:f>'원시결과'!B9</x:f>
        <x:v>semi-structured</x:v>
      </x:c>
      <x:c r="C6" t="str">
        <x:f>'원시결과'!C9</x:f>
        <x:v>nvidia-2to4</x:v>
      </x:c>
      <x:c r="D6" t="str">
        <x:f>'원시결과'!D9</x:f>
        <x:v>fp16</x:v>
      </x:c>
      <x:c r="E6" t="str">
        <x:f>'원시결과'!H9</x:f>
        <x:v>완료</x:v>
      </x:c>
      <x:c r="F6" s="3" t="n">
        <x:f>IF('원시결과'!J9="","",'원시결과'!J9)</x:f>
        <x:v>0.632380362274998</x:v>
      </x:c>
      <x:c r="G6" s="3" t="n">
        <x:f>IF('원시결과'!Q9="","",'원시결과'!Q9)</x:f>
        <x:v>0.5148480302335408</x:v>
      </x:c>
      <x:c r="H6" s="3" t="n">
        <x:f>IF('원시결과'!X9="","",'원시결과'!X9)</x:f>
        <x:v>0.6751028359197037</x:v>
      </x:c>
      <x:c r="I6" s="6" t="n">
        <x:f>IF(F6="","",F6-INDEX(F$2:F$23,MATCH("B01",$A$2:$A$23,0)))</x:f>
        <x:v>-0.10547856489077045</x:v>
      </x:c>
      <x:c r="J6" s="6" t="n">
        <x:f>IF(G6="","",G6-INDEX(G$2:G$23,MATCH("B01",$A$2:$A$23,0)))</x:f>
        <x:v>-0.08779466565160976</x:v>
      </x:c>
      <x:c r="K6" s="6" t="n">
        <x:f>IF(H6="","",H6-INDEX(H$2:H$23,MATCH("B01",$A$2:$A$23,0)))</x:f>
        <x:v>-0.036904245785515655</x:v>
      </x:c>
      <x:c r="L6" s="4" t="n">
        <x:f>IF('원시결과'!Z9="","",'원시결과'!Z9)</x:f>
        <x:v>25.26247049900121</x:v>
      </x:c>
      <x:c r="M6" s="4" t="n">
        <x:f>IF('원시결과'!AA9="","",'원시결과'!AA9)</x:f>
        <x:v>28.14596914649882</x:v>
      </x:c>
      <x:c r="N6" s="4" t="n">
        <x:f>IF('원시결과'!AB9="","",'원시결과'!AB9)</x:f>
        <x:v>29.20788465933583</x:v>
      </x:c>
      <x:c r="O6" s="4" t="n">
        <x:f>IF('원시결과'!AH9="","",'원시결과'!AH9)</x:f>
        <x:v>39.02072104996225</x:v>
      </x:c>
      <x:c r="P6" s="7" t="n">
        <x:f>IF('원시결과'!AE9="","",'원시결과'!AE9)</x:f>
        <x:v>0.005740374355430834</x:v>
      </x:c>
      <x:c r="Q6" s="4" t="n">
        <x:f>IF('원시결과'!AF9="","",'원시결과'!AF9)</x:f>
        <x:v>24.89929467224574</x:v>
      </x:c>
      <x:c r="R6" s="4" t="n">
        <x:f>IF('원시결과'!AG9="","",'원시결과'!AG9)</x:f>
        <x:v>25.61974832780058</x:v>
      </x:c>
      <x:c r="S6" s="8" t="n">
        <x:f>IF('원시결과'!AI9="","",'원시결과'!AI9/1048576)</x:f>
        <x:v>897.943359375</x:v>
      </x:c>
      <x:c r="T6" s="8" t="n">
        <x:f>IF('원시결과'!AK9="","",'원시결과'!AK9/1048576)</x:f>
        <x:v>62.39285659790039</x:v>
      </x:c>
      <x:c r="U6" s="7" t="n">
        <x:f>IF(L6="","",(INDEX(L$2:L$23,MATCH("B01",$A$2:$A$23,0))-L6)/INDEX(L$2:L$23,MATCH("B01",$A$2:$A$23,0)))</x:f>
        <x:v>0.4486615275728784</x:v>
      </x:c>
      <x:c r="V6" s="4" t="n">
        <x:f>IF(L6="","",INDEX(L$2:L$23,MATCH("B01",$A$2:$A$23,0))/L6)</x:f>
        <x:v>1.8137678576968608</x:v>
      </x:c>
      <x:c r="W6" s="7" t="n">
        <x:f>IF(S6="","",(INDEX(S$2:S$23,MATCH("B01",$A$2:$A$23,0))-S6)/INDEX(S$2:S$23,MATCH("B01",$A$2:$A$23,0)))</x:f>
        <x:v>0</x:v>
      </x:c>
      <x:c r="X6" s="7" t="n">
        <x:f>IF(T6="","",(INDEX(T$2:T$23,MATCH("B01",$A$2:$A$23,0))-T6)/INDEX(T$2:T$23,MATCH("B01",$A$2:$A$23,0)))</x:f>
        <x:v>0.5176056727467964</x:v>
      </x:c>
      <x:c r="Y6" t="b">
        <x:v>1</x:v>
      </x:c>
      <x:c r="Z6" t="b">
        <x:f>AND(I6&gt;=-'평가기준'!$B$10,J6&gt;=-'평가기준'!$B$11,K6&gt;=-'평가기준'!$B$12)</x:f>
        <x:v>0</x:v>
      </x:c>
      <x:c r="AA6" t="b">
        <x:f>AND(Y6,Z6)</x:f>
        <x:v>0</x:v>
      </x:c>
      <x:c r="AB6" t="b">
        <x:v>0</x:v>
      </x:c>
      <x:c r="AC6" t="b">
        <x:f>P6&gt;'평가기준'!$B$9</x:f>
        <x:v>0</x:v>
      </x:c>
      <x:c r="AD6" t="b">
        <x:f>AND(Y6,M6&gt;'평가기준'!$B$14)</x:f>
        <x:v>0</x:v>
      </x:c>
      <x:c r="AE6" s="5" t="s">
        <x:v>302</x:v>
      </x:c>
      <x:c r="AF6" t="b">
        <x:f>AND(Y6,L6&lt;='평가기준'!$B$14)</x:f>
        <x:v>1</x:v>
      </x:c>
      <x:c r="AG6" t="b">
        <x:f>AND(AB6,AF6,NOT(AI6))</x:f>
        <x:v>0</x:v>
      </x:c>
      <x:c r="AH6" t="b">
        <x:v>0</x:v>
      </x:c>
      <x:c r="AI6" t="b">
        <x:v>0</x:v>
      </x:c>
    </x:row>
    <x:row r="7">
      <x:c r="A7" t="str">
        <x:f>'원시결과'!A10</x:f>
        <x:v>S01</x:v>
      </x:c>
      <x:c r="B7" t="str">
        <x:f>'원시결과'!B10</x:f>
        <x:v>structured</x:v>
      </x:c>
      <x:c r="C7" t="str">
        <x:f>'원시결과'!C10</x:f>
        <x:v>decoder-layer</x:v>
      </x:c>
      <x:c r="D7" t="str">
        <x:f>'원시결과'!D10</x:f>
        <x:v>fp32</x:v>
      </x:c>
      <x:c r="E7" t="str">
        <x:f>'원시결과'!H10</x:f>
        <x:v>완료</x:v>
      </x:c>
      <x:c r="F7" s="3" t="n">
        <x:f>IF('원시결과'!J10="","",'원시결과'!J10)</x:f>
        <x:v>0.7389992702819812</x:v>
      </x:c>
      <x:c r="G7" s="3" t="n">
        <x:f>IF('원시결과'!Q10="","",'원시결과'!Q10)</x:f>
        <x:v>0.6022300056180777</x:v>
      </x:c>
      <x:c r="H7" s="3" t="n">
        <x:f>IF('원시결과'!X10="","",'원시결과'!X10)</x:f>
        <x:v>0.7338994811052602</x:v>
      </x:c>
      <x:c r="I7" s="6" t="n">
        <x:f>IF(F7="","",F7-INDEX(F$2:F$23,MATCH("B01",$A$2:$A$23,0)))</x:f>
        <x:v>0.0011403431162126942</x:v>
      </x:c>
      <x:c r="J7" s="6" t="n">
        <x:f>IF(G7="","",G7-INDEX(G$2:G$23,MATCH("B01",$A$2:$A$23,0)))</x:f>
        <x:v>-0.00041269026707280165</x:v>
      </x:c>
      <x:c r="K7" s="6" t="n">
        <x:f>IF(H7="","",H7-INDEX(H$2:H$23,MATCH("B01",$A$2:$A$23,0)))</x:f>
        <x:v>0.02189239940004084</x:v>
      </x:c>
      <x:c r="L7" s="4" t="n">
        <x:f>IF('원시결과'!Z10="","",'원시결과'!Z10)</x:f>
        <x:v>44.50986200026819</x:v>
      </x:c>
      <x:c r="M7" s="4" t="n">
        <x:f>IF('원시결과'!AA10="","",'원시결과'!AA10)</x:f>
        <x:v>46.95399169904703</x:v>
      </x:c>
      <x:c r="N7" s="4" t="n">
        <x:f>IF('원시결과'!AB10="","",'원시결과'!AB10)</x:f>
        <x:v>47.97766403615241</x:v>
      </x:c>
      <x:c r="O7" s="4" t="n">
        <x:f>IF('원시결과'!AH10="","",'원시결과'!AH10)</x:f>
        <x:v>22.38280942030434</x:v>
      </x:c>
      <x:c r="P7" s="7" t="n">
        <x:f>IF('원시결과'!AE10="","",'원시결과'!AE10)</x:f>
        <x:v>0.01164210492646165</x:v>
      </x:c>
      <x:c r="Q7" s="4" t="n">
        <x:f>IF('원시결과'!AF10="","",'원시결과'!AF10)</x:f>
        <x:v>43.25048991560818</x:v>
      </x:c>
      <x:c r="R7" s="4" t="n">
        <x:f>IF('원시결과'!AG10="","",'원시결과'!AG10)</x:f>
        <x:v>45.8268677479708</x:v>
      </x:c>
      <x:c r="S7" s="8" t="n">
        <x:f>IF('원시결과'!AI10="","",'원시결과'!AI10/1048576)</x:f>
        <x:v>897.943359375</x:v>
      </x:c>
      <x:c r="T7" s="8" t="n">
        <x:f>IF('원시결과'!AK10="","",'원시결과'!AK10/1048576)</x:f>
        <x:v>123.25446701049805</x:v>
      </x:c>
      <x:c r="U7" s="7" t="n">
        <x:f>IF(L7="","",(INDEX(L$2:L$23,MATCH("B01",$A$2:$A$23,0))-L7)/INDEX(L$2:L$23,MATCH("B01",$A$2:$A$23,0)))</x:f>
        <x:v>0.028598595527698834</x:v>
      </x:c>
      <x:c r="V7" s="4" t="n">
        <x:f>IF(L7="","",INDEX(L$2:L$23,MATCH("B01",$A$2:$A$23,0))/L7)</x:f>
        <x:v>1.0294405540243527</x:v>
      </x:c>
      <x:c r="W7" s="7" t="n">
        <x:f>IF(S7="","",(INDEX(S$2:S$23,MATCH("B01",$A$2:$A$23,0))-S7)/INDEX(S$2:S$23,MATCH("B01",$A$2:$A$23,0)))</x:f>
        <x:v>0</x:v>
      </x:c>
      <x:c r="X7" s="7" t="n">
        <x:f>IF(T7="","",(INDEX(T$2:T$23,MATCH("B01",$A$2:$A$23,0))-T7)/INDEX(T$2:T$23,MATCH("B01",$A$2:$A$23,0)))</x:f>
        <x:v>0.047050272474906944</x:v>
      </x:c>
      <x:c r="Y7" t="b">
        <x:v>1</x:v>
      </x:c>
      <x:c r="Z7" t="b">
        <x:f>AND(I7&gt;=-'평가기준'!$B$10,J7&gt;=-'평가기준'!$B$11,K7&gt;=-'평가기준'!$B$12)</x:f>
        <x:v>1</x:v>
      </x:c>
      <x:c r="AA7" t="b">
        <x:f>AND(Y7,Z7)</x:f>
        <x:v>1</x:v>
      </x:c>
      <x:c r="AB7" t="b">
        <x:v>0</x:v>
      </x:c>
      <x:c r="AC7" t="b">
        <x:f>P7&gt;'평가기준'!$B$9</x:f>
        <x:v>0</x:v>
      </x:c>
      <x:c r="AD7" t="b">
        <x:f>AND(Y7,M7&gt;'평가기준'!$B$14)</x:f>
        <x:v>1</x:v>
      </x:c>
      <x:c r="AE7" s="5"/>
      <x:c r="AF7" t="b">
        <x:f>AND(Y7,L7&lt;='평가기준'!$B$14)</x:f>
        <x:v>0</x:v>
      </x:c>
      <x:c r="AG7" t="b">
        <x:f>AND(AB7,AF7,NOT(AI7))</x:f>
        <x:v>0</x:v>
      </x:c>
      <x:c r="AH7" t="b">
        <x:v>0</x:v>
      </x:c>
      <x:c r="AI7" t="b">
        <x:v>0</x:v>
      </x:c>
    </x:row>
    <x:row r="8">
      <x:c r="A8" t="str">
        <x:f>'원시결과'!A11</x:f>
        <x:v>S02</x:v>
      </x:c>
      <x:c r="B8" t="str">
        <x:f>'원시결과'!B11</x:f>
        <x:v>structured</x:v>
      </x:c>
      <x:c r="C8" t="str">
        <x:f>'원시결과'!C11</x:f>
        <x:v>decoder-layer</x:v>
      </x:c>
      <x:c r="D8" t="str">
        <x:f>'원시결과'!D11</x:f>
        <x:v>fp32</x:v>
      </x:c>
      <x:c r="E8" t="str">
        <x:f>'원시결과'!H11</x:f>
        <x:v>완료</x:v>
      </x:c>
      <x:c r="F8" s="3" t="n">
        <x:f>IF('원시결과'!J11="","",'원시결과'!J11)</x:f>
        <x:v>0.7161213328372058</x:v>
      </x:c>
      <x:c r="G8" s="3" t="n">
        <x:f>IF('원시결과'!Q11="","",'원시결과'!Q11)</x:f>
        <x:v>0.5850419797466627</x:v>
      </x:c>
      <x:c r="H8" s="3" t="n">
        <x:f>IF('원시결과'!X11="","",'원시결과'!X11)</x:f>
        <x:v>0.7531286481742853</x:v>
      </x:c>
      <x:c r="I8" s="6" t="n">
        <x:f>IF(F8="","",F8-INDEX(F$2:F$23,MATCH("B01",$A$2:$A$23,0)))</x:f>
        <x:v>-0.021737594328562704</x:v>
      </x:c>
      <x:c r="J8" s="6" t="n">
        <x:f>IF(G8="","",G8-INDEX(G$2:G$23,MATCH("B01",$A$2:$A$23,0)))</x:f>
        <x:v>-0.017600716138487793</x:v>
      </x:c>
      <x:c r="K8" s="6" t="n">
        <x:f>IF(H8="","",H8-INDEX(H$2:H$23,MATCH("B01",$A$2:$A$23,0)))</x:f>
        <x:v>0.04112156646906595</x:v>
      </x:c>
      <x:c r="L8" s="4" t="n">
        <x:f>IF('원시결과'!Z11="","",'원시결과'!Z11)</x:f>
        <x:v>42.95711550003034</x:v>
      </x:c>
      <x:c r="M8" s="4" t="n">
        <x:f>IF('원시결과'!AA11="","",'원시결과'!AA11)</x:f>
        <x:v>45.106496605149</x:v>
      </x:c>
      <x:c r="N8" s="4" t="n">
        <x:f>IF('원시결과'!AB11="","",'원시결과'!AB11)</x:f>
        <x:v>45.9787016408518</x:v>
      </x:c>
      <x:c r="O8" s="4" t="n">
        <x:f>IF('원시결과'!AH11="","",'원시결과'!AH11)</x:f>
        <x:v>23.19672247787515</x:v>
      </x:c>
      <x:c r="P8" s="7" t="n">
        <x:f>IF('원시결과'!AE11="","",'원시결과'!AE11)</x:f>
        <x:v>0.005551494122696149</x:v>
      </x:c>
      <x:c r="Q8" s="4" t="n">
        <x:f>IF('원시결과'!AF11="","",'원시결과'!AF11)</x:f>
        <x:v>42.34599028478794</x:v>
      </x:c>
      <x:c r="R8" s="4" t="n">
        <x:f>IF('원시결과'!AG11="","",'원시결과'!AG11)</x:f>
        <x:v>43.53037904746645</x:v>
      </x:c>
      <x:c r="S8" s="8" t="n">
        <x:f>IF('원시결과'!AI11="","",'원시결과'!AI11/1048576)</x:f>
        <x:v>897.943359375</x:v>
      </x:c>
      <x:c r="T8" s="8" t="n">
        <x:f>IF('원시결과'!AK11="","",'원시결과'!AK11/1048576)</x:f>
        <x:v>117.18737411499023</x:v>
      </x:c>
      <x:c r="U8" s="7" t="n">
        <x:f>IF(L8="","",(INDEX(L$2:L$23,MATCH("B01",$A$2:$A$23,0))-L8)/INDEX(L$2:L$23,MATCH("B01",$A$2:$A$23,0)))</x:f>
        <x:v>0.06248636923302758</x:v>
      </x:c>
      <x:c r="V8" s="4" t="n">
        <x:f>IF(L8="","",INDEX(L$2:L$23,MATCH("B01",$A$2:$A$23,0))/L8)</x:f>
        <x:v>1.0666511581083977</x:v>
      </x:c>
      <x:c r="W8" s="7" t="n">
        <x:f>IF(S8="","",(INDEX(S$2:S$23,MATCH("B01",$A$2:$A$23,0))-S8)/INDEX(S$2:S$23,MATCH("B01",$A$2:$A$23,0)))</x:f>
        <x:v>0</x:v>
      </x:c>
      <x:c r="X8" s="7" t="n">
        <x:f>IF(T8="","",(INDEX(T$2:T$23,MATCH("B01",$A$2:$A$23,0))-T8)/INDEX(T$2:T$23,MATCH("B01",$A$2:$A$23,0)))</x:f>
        <x:v>0.09395838592406212</x:v>
      </x:c>
      <x:c r="Y8" t="b">
        <x:v>1</x:v>
      </x:c>
      <x:c r="Z8" t="b">
        <x:f>AND(I8&gt;=-'평가기준'!$B$10,J8&gt;=-'평가기준'!$B$11,K8&gt;=-'평가기준'!$B$12)</x:f>
        <x:v>0</x:v>
      </x:c>
      <x:c r="AA8" t="b">
        <x:f>AND(Y8,Z8)</x:f>
        <x:v>0</x:v>
      </x:c>
      <x:c r="AB8" t="b">
        <x:v>0</x:v>
      </x:c>
      <x:c r="AC8" t="b">
        <x:f>P8&gt;'평가기준'!$B$9</x:f>
        <x:v>0</x:v>
      </x:c>
      <x:c r="AD8" t="b">
        <x:f>AND(Y8,M8&gt;'평가기준'!$B$14)</x:f>
        <x:v>1</x:v>
      </x:c>
      <x:c r="AE8" s="5" t="s">
        <x:v>302</x:v>
      </x:c>
      <x:c r="AF8" t="b">
        <x:f>AND(Y8,L8&lt;='평가기준'!$B$14)</x:f>
        <x:v>0</x:v>
      </x:c>
      <x:c r="AG8" t="b">
        <x:f>AND(AB8,AF8,NOT(AI8))</x:f>
        <x:v>0</x:v>
      </x:c>
      <x:c r="AH8" t="b">
        <x:v>0</x:v>
      </x:c>
      <x:c r="AI8" t="b">
        <x:v>0</x:v>
      </x:c>
    </x:row>
    <x:row r="9">
      <x:c r="A9" t="str">
        <x:f>'원시결과'!A13</x:f>
        <x:v>S04</x:v>
      </x:c>
      <x:c r="B9" t="str">
        <x:f>'원시결과'!B13</x:f>
        <x:v>structured</x:v>
      </x:c>
      <x:c r="C9" t="str">
        <x:f>'원시결과'!C13</x:f>
        <x:v>ffn-dimension</x:v>
      </x:c>
      <x:c r="D9" t="str">
        <x:f>'원시결과'!D13</x:f>
        <x:v>fp32</x:v>
      </x:c>
      <x:c r="E9" t="str">
        <x:f>'원시결과'!H13</x:f>
        <x:v>완료</x:v>
      </x:c>
      <x:c r="F9" s="3" t="n">
        <x:f>IF('원시결과'!J13="","",'원시결과'!J13)</x:f>
        <x:v>0.5180516359118821</x:v>
      </x:c>
      <x:c r="G9" s="3" t="n">
        <x:f>IF('원시결과'!Q13="","",'원시결과'!Q13)</x:f>
        <x:v>0.5213500016890231</x:v>
      </x:c>
      <x:c r="H9" s="3" t="n">
        <x:f>IF('원시결과'!X13="","",'원시결과'!X13)</x:f>
        <x:v>0.6475576194715931</x:v>
      </x:c>
      <x:c r="I9" s="6" t="n">
        <x:f>IF(F9="","",F9-INDEX(F$2:F$23,MATCH("B01",$A$2:$A$23,0)))</x:f>
        <x:v>-0.21980729125388643</x:v>
      </x:c>
      <x:c r="J9" s="6" t="n">
        <x:f>IF(G9="","",G9-INDEX(G$2:G$23,MATCH("B01",$A$2:$A$23,0)))</x:f>
        <x:v>-0.08129269419612739</x:v>
      </x:c>
      <x:c r="K9" s="6" t="n">
        <x:f>IF(H9="","",H9-INDEX(H$2:H$23,MATCH("B01",$A$2:$A$23,0)))</x:f>
        <x:v>-0.06444946223362624</x:v>
      </x:c>
      <x:c r="L9" s="4" t="n">
        <x:f>IF('원시결과'!Z13="","",'원시결과'!Z13)</x:f>
        <x:v>45.76865499984706</x:v>
      </x:c>
      <x:c r="M9" s="4" t="n">
        <x:f>IF('원시결과'!AA13="","",'원시결과'!AA13)</x:f>
        <x:v>48.07662969978992</x:v>
      </x:c>
      <x:c r="N9" s="4" t="n">
        <x:f>IF('원시결과'!AB13="","",'원시결과'!AB13)</x:f>
        <x:v>48.89365582101163</x:v>
      </x:c>
      <x:c r="O9" s="4" t="n">
        <x:f>IF('원시결과'!AH13="","",'원시결과'!AH13)</x:f>
        <x:v>21.79124750586206</x:v>
      </x:c>
      <x:c r="P9" s="7" t="n">
        <x:f>IF('원시결과'!AE13="","",'원시결과'!AE13)</x:f>
        <x:v>0.005799672497766354</x:v>
      </x:c>
      <x:c r="Q9" s="4" t="n">
        <x:f>IF('원시결과'!AF13="","",'원시결과'!AF13)</x:f>
        <x:v>45.09938319864546</x:v>
      </x:c>
      <x:c r="R9" s="4" t="n">
        <x:f>IF('원시결과'!AG13="","",'원시결과'!AG13)</x:f>
        <x:v>46.41799746565425</x:v>
      </x:c>
      <x:c r="S9" s="8" t="n">
        <x:f>IF('원시결과'!AI13="","",'원시결과'!AI13/1048576)</x:f>
        <x:v>897.943359375</x:v>
      </x:c>
      <x:c r="T9" s="8" t="n">
        <x:f>IF('원시결과'!AK13="","",'원시결과'!AK13/1048576)</x:f>
        <x:v>121.19233322143555</x:v>
      </x:c>
      <x:c r="U9" s="7" t="n">
        <x:f>IF(L9="","",(INDEX(L$2:L$23,MATCH("B01",$A$2:$A$23,0))-L9)/INDEX(L$2:L$23,MATCH("B01",$A$2:$A$23,0)))</x:f>
        <x:v>0.0011261830604698208</x:v>
      </x:c>
      <x:c r="V9" s="4" t="n">
        <x:f>IF(L9="","",INDEX(L$2:L$23,MATCH("B01",$A$2:$A$23,0))/L9)</x:f>
        <x:v>1.0011274527786906</x:v>
      </x:c>
      <x:c r="W9" s="7" t="n">
        <x:f>IF(S9="","",(INDEX(S$2:S$23,MATCH("B01",$A$2:$A$23,0))-S9)/INDEX(S$2:S$23,MATCH("B01",$A$2:$A$23,0)))</x:f>
        <x:v>0</x:v>
      </x:c>
      <x:c r="X9" s="7" t="n">
        <x:f>IF(T9="","",(INDEX(T$2:T$23,MATCH("B01",$A$2:$A$23,0))-T9)/INDEX(T$2:T$23,MATCH("B01",$A$2:$A$23,0)))</x:f>
        <x:v>0.0629937906294256</x:v>
      </x:c>
      <x:c r="Y9" t="b">
        <x:v>1</x:v>
      </x:c>
      <x:c r="Z9" t="b">
        <x:f>AND(I9&gt;=-'평가기준'!$B$10,J9&gt;=-'평가기준'!$B$11,K9&gt;=-'평가기준'!$B$12)</x:f>
        <x:v>0</x:v>
      </x:c>
      <x:c r="AA9" t="b">
        <x:f>AND(Y9,Z9)</x:f>
        <x:v>0</x:v>
      </x:c>
      <x:c r="AB9" t="b">
        <x:v>0</x:v>
      </x:c>
      <x:c r="AC9" t="b">
        <x:f>P9&gt;'평가기준'!$B$9</x:f>
        <x:v>0</x:v>
      </x:c>
      <x:c r="AD9" t="b">
        <x:f>AND(Y9,M9&gt;'평가기준'!$B$14)</x:f>
        <x:v>1</x:v>
      </x:c>
      <x:c r="AE9" s="5" t="s">
        <x:v>302</x:v>
      </x:c>
      <x:c r="AF9" t="b">
        <x:f>AND(Y9,L9&lt;='평가기준'!$B$14)</x:f>
        <x:v>0</x:v>
      </x:c>
      <x:c r="AG9" t="b">
        <x:f>AND(AB9,AF9,NOT(AI9))</x:f>
        <x:v>0</x:v>
      </x:c>
      <x:c r="AH9" t="b">
        <x:v>0</x:v>
      </x:c>
      <x:c r="AI9" t="b">
        <x:v>0</x:v>
      </x:c>
    </x:row>
    <x:row r="10">
      <x:c r="A10" t="str">
        <x:f>'원시결과'!A14</x:f>
        <x:v>C01</x:v>
      </x:c>
      <x:c r="B10" t="str">
        <x:f>'원시결과'!B14</x:f>
        <x:v>combined</x:v>
      </x:c>
      <x:c r="C10" t="str">
        <x:f>'원시결과'!C14</x:f>
        <x:v>structured-selected</x:v>
      </x:c>
      <x:c r="D10" t="str">
        <x:f>'원시결과'!D14</x:f>
        <x:v>fp16</x:v>
      </x:c>
      <x:c r="E10" t="str">
        <x:f>'원시결과'!H14</x:f>
        <x:v>완료</x:v>
      </x:c>
      <x:c r="F10" s="3" t="n">
        <x:f>IF('원시결과'!J14="","",'원시결과'!J14)</x:f>
        <x:v>0.738597901902575</x:v>
      </x:c>
      <x:c r="G10" s="3" t="n">
        <x:f>IF('원시결과'!Q14="","",'원시결과'!Q14)</x:f>
        <x:v>0.6029119261351803</x:v>
      </x:c>
      <x:c r="H10" s="3" t="n">
        <x:f>IF('원시결과'!X14="","",'원시결과'!X14)</x:f>
        <x:v>0.7366895364204816</x:v>
      </x:c>
      <x:c r="I10" s="6" t="n">
        <x:f>IF(F10="","",F10-INDEX(F$2:F$23,MATCH("B01",$A$2:$A$23,0)))</x:f>
        <x:v>0.000738974736806508</x:v>
      </x:c>
      <x:c r="J10" s="6" t="n">
        <x:f>IF(G10="","",G10-INDEX(G$2:G$23,MATCH("B01",$A$2:$A$23,0)))</x:f>
        <x:v>0.00026923025002978385</x:v>
      </x:c>
      <x:c r="K10" s="6" t="n">
        <x:f>IF(H10="","",H10-INDEX(H$2:H$23,MATCH("B01",$A$2:$A$23,0)))</x:f>
        <x:v>0.024682454715262314</x:v>
      </x:c>
      <x:c r="L10" s="4" t="n">
        <x:f>IF('원시결과'!Z14="","",'원시결과'!Z14)</x:f>
        <x:v>25.29960950050736</x:v>
      </x:c>
      <x:c r="M10" s="4" t="n">
        <x:f>IF('원시결과'!AA14="","",'원시결과'!AA14)</x:f>
        <x:v>27.51168169488664</x:v>
      </x:c>
      <x:c r="N10" s="4" t="n">
        <x:f>IF('원시결과'!AB14="","",'원시결과'!AB14)</x:f>
        <x:v>28.20130314830749</x:v>
      </x:c>
      <x:c r="O10" s="4" t="n">
        <x:f>IF('원시결과'!AH14="","",'원시결과'!AH14)</x:f>
        <x:v>39.13140635342868</x:v>
      </x:c>
      <x:c r="P10" s="7" t="n">
        <x:f>IF('원시결과'!AE14="","",'원시결과'!AE14)</x:f>
        <x:v>0.02911082833010531</x:v>
      </x:c>
      <x:c r="Q10" s="4" t="n">
        <x:f>IF('원시결과'!AF14="","",'원시결과'!AF14)</x:f>
        <x:v>23.59833650741497</x:v>
      </x:c>
      <x:c r="R10" s="4" t="n">
        <x:f>IF('원시결과'!AG14="","",'원시결과'!AG14)</x:f>
        <x:v>27.27775349248352</x:v>
      </x:c>
      <x:c r="S10" s="8" t="n">
        <x:f>IF('원시결과'!AI14="","",'원시결과'!AI14/1048576)</x:f>
        <x:v>897.943359375</x:v>
      </x:c>
      <x:c r="T10" s="8" t="n">
        <x:f>IF('원시결과'!AK14="","",'원시결과'!AK14/1048576)</x:f>
        <x:v>64.7291145324707</x:v>
      </x:c>
      <x:c r="U10" s="7" t="n">
        <x:f>IF(L10="","",(INDEX(L$2:L$23,MATCH("B01",$A$2:$A$23,0))-L10)/INDEX(L$2:L$23,MATCH("B01",$A$2:$A$23,0)))</x:f>
        <x:v>0.44785099083781615</x:v>
      </x:c>
      <x:c r="V10" s="4" t="n">
        <x:f>IF(L10="","",INDEX(L$2:L$23,MATCH("B01",$A$2:$A$23,0))/L10)</x:f>
        <x:v>1.8111053056445274</x:v>
      </x:c>
      <x:c r="W10" s="7" t="n">
        <x:f>IF(S10="","",(INDEX(S$2:S$23,MATCH("B01",$A$2:$A$23,0))-S10)/INDEX(S$2:S$23,MATCH("B01",$A$2:$A$23,0)))</x:f>
        <x:v>0</x:v>
      </x:c>
      <x:c r="X10" s="7" t="n">
        <x:f>IF(T10="","",(INDEX(T$2:T$23,MATCH("B01",$A$2:$A$23,0))-T10)/INDEX(T$2:T$23,MATCH("B01",$A$2:$A$23,0)))</x:f>
        <x:v>0.4995427463784767</x:v>
      </x:c>
      <x:c r="Y10" t="b">
        <x:v>1</x:v>
      </x:c>
      <x:c r="Z10" t="b">
        <x:f>AND(I10&gt;=-'평가기준'!$B$10,J10&gt;=-'평가기준'!$B$11,K10&gt;=-'평가기준'!$B$12)</x:f>
        <x:v>1</x:v>
      </x:c>
      <x:c r="AA10" t="b">
        <x:f>AND(Y10,Z10)</x:f>
        <x:v>1</x:v>
      </x:c>
      <x:c r="AB10" t="b">
        <x:v>1</x:v>
      </x:c>
      <x:c r="AC10" t="b">
        <x:f>P10&gt;'평가기준'!$B$9</x:f>
        <x:v>0</x:v>
      </x:c>
      <x:c r="AD10" t="b">
        <x:f>AND(Y10,M10&gt;'평가기준'!$B$14)</x:f>
        <x:v>0</x:v>
      </x:c>
      <x:c r="AE10" s="5"/>
      <x:c r="AF10" t="b">
        <x:f>AND(Y10,L10&lt;='평가기준'!$B$14)</x:f>
        <x:v>1</x:v>
      </x:c>
      <x:c r="AG10" t="b">
        <x:f>AND(AB10,AF10,NOT(AI10))</x:f>
        <x:v>1</x:v>
      </x:c>
      <x:c r="AH10" t="b">
        <x:v>0</x:v>
      </x:c>
      <x:c r="AI10" t="b">
        <x:v>0</x:v>
      </x:c>
    </x:row>
    <x:row r="11">
      <x:c r="A11" t="str">
        <x:f>'원시결과'!A15</x:f>
        <x:v>C02</x:v>
      </x:c>
      <x:c r="B11" t="str">
        <x:f>'원시결과'!B15</x:f>
        <x:v>combined</x:v>
      </x:c>
      <x:c r="C11" t="str">
        <x:f>'원시결과'!C15</x:f>
        <x:v>structured-selected</x:v>
      </x:c>
      <x:c r="D11" t="str">
        <x:f>'원시결과'!D15</x:f>
        <x:v>int8</x:v>
      </x:c>
      <x:c r="E11" t="str">
        <x:f>'원시결과'!H15</x:f>
        <x:v>완료</x:v>
      </x:c>
      <x:c r="F11" s="3" t="n">
        <x:f>IF('원시결과'!J15="","",'원시결과'!J15)</x:f>
        <x:v>0.7400863602009445</x:v>
      </x:c>
      <x:c r="G11" s="3" t="n">
        <x:f>IF('원시결과'!Q15="","",'원시결과'!Q15)</x:f>
        <x:v>0.6023425986945383</x:v>
      </x:c>
      <x:c r="H11" s="3" t="n">
        <x:f>IF('원시결과'!X15="","",'원시결과'!X15)</x:f>
        <x:v>0.741211228206296</x:v>
      </x:c>
      <x:c r="I11" s="6" t="n">
        <x:f>IF(F11="","",F11-INDEX(F$2:F$23,MATCH("B01",$A$2:$A$23,0)))</x:f>
        <x:v>0.0022274330351760296</x:v>
      </x:c>
      <x:c r="J11" s="6" t="n">
        <x:f>IF(G11="","",G11-INDEX(G$2:G$23,MATCH("B01",$A$2:$A$23,0)))</x:f>
        <x:v>-0.00030009719061219187</x:v>
      </x:c>
      <x:c r="K11" s="6" t="n">
        <x:f>IF(H11="","",H11-INDEX(H$2:H$23,MATCH("B01",$A$2:$A$23,0)))</x:f>
        <x:v>0.029204146501076722</x:v>
      </x:c>
      <x:c r="L11" s="4" t="n">
        <x:f>IF('원시결과'!Z15="","",'원시결과'!Z15)</x:f>
        <x:v>26.18279599846574</x:v>
      </x:c>
      <x:c r="M11" s="4" t="n">
        <x:f>IF('원시결과'!AA15="","",'원시결과'!AA15)</x:f>
        <x:v>27.42526150286722</x:v>
      </x:c>
      <x:c r="N11" s="4" t="n">
        <x:f>IF('원시결과'!AB15="","",'원시결과'!AB15)</x:f>
        <x:v>27.94653781667876</x:v>
      </x:c>
      <x:c r="O11" s="4" t="n">
        <x:f>IF('원시결과'!AH15="","",'원시결과'!AH15)</x:f>
        <x:v>38.4598938550889</x:v>
      </x:c>
      <x:c r="P11" s="7" t="n">
        <x:f>IF('원시결과'!AE15="","",'원시결과'!AE15)</x:f>
        <x:v>0.008494843897792766</x:v>
      </x:c>
      <x:c r="Q11" s="4" t="n">
        <x:f>IF('원시결과'!AF15="","",'원시결과'!AF15)</x:f>
        <x:v>25.58145613738922</x:v>
      </x:c>
      <x:c r="R11" s="4" t="n">
        <x:f>IF('원시결과'!AG15="","",'원시결과'!AG15)</x:f>
        <x:v>26.6844798620685</x:v>
      </x:c>
      <x:c r="S11" s="8" t="n">
        <x:f>IF('원시결과'!AI15="","",'원시결과'!AI15/1048576)</x:f>
        <x:v>897.943359375</x:v>
      </x:c>
      <x:c r="T11" s="8" t="n">
        <x:f>IF('원시결과'!AK15="","",'원시결과'!AK15/1048576)</x:f>
        <x:v>64.81132125854492</x:v>
      </x:c>
      <x:c r="U11" s="7" t="n">
        <x:f>IF(L11="","",(INDEX(L$2:L$23,MATCH("B01",$A$2:$A$23,0))-L11)/INDEX(L$2:L$23,MATCH("B01",$A$2:$A$23,0)))</x:f>
        <x:v>0.4285759680457308</x:v>
      </x:c>
      <x:c r="V11" s="4" t="n">
        <x:f>IF(L11="","",INDEX(L$2:L$23,MATCH("B01",$A$2:$A$23,0))/L11)</x:f>
        <x:v>1.750013902250491</x:v>
      </x:c>
      <x:c r="W11" s="7" t="n">
        <x:f>IF(S11="","",(INDEX(S$2:S$23,MATCH("B01",$A$2:$A$23,0))-S11)/INDEX(S$2:S$23,MATCH("B01",$A$2:$A$23,0)))</x:f>
        <x:v>0</x:v>
      </x:c>
      <x:c r="X11" s="7" t="n">
        <x:f>IF(T11="","",(INDEX(T$2:T$23,MATCH("B01",$A$2:$A$23,0))-T11)/INDEX(T$2:T$23,MATCH("B01",$A$2:$A$23,0)))</x:f>
        <x:v>0.49890715986292683</x:v>
      </x:c>
      <x:c r="Y11" t="b">
        <x:v>1</x:v>
      </x:c>
      <x:c r="Z11" t="b">
        <x:f>AND(I11&gt;=-'평가기준'!$B$10,J11&gt;=-'평가기준'!$B$11,K11&gt;=-'평가기준'!$B$12)</x:f>
        <x:v>1</x:v>
      </x:c>
      <x:c r="AA11" t="b">
        <x:f>AND(Y11,Z11)</x:f>
        <x:v>1</x:v>
      </x:c>
      <x:c r="AB11" t="b">
        <x:v>0</x:v>
      </x:c>
      <x:c r="AC11" t="b">
        <x:f>P11&gt;'평가기준'!$B$9</x:f>
        <x:v>0</x:v>
      </x:c>
      <x:c r="AD11" t="b">
        <x:f>AND(Y11,M11&gt;'평가기준'!$B$14)</x:f>
        <x:v>0</x:v>
      </x:c>
      <x:c r="AE11" s="5"/>
      <x:c r="AF11" t="b">
        <x:f>AND(Y11,L11&lt;='평가기준'!$B$14)</x:f>
        <x:v>1</x:v>
      </x:c>
      <x:c r="AG11" t="b">
        <x:f>AND(AB11,AF11,NOT(AI11))</x:f>
        <x:v>0</x:v>
      </x:c>
      <x:c r="AH11" t="b">
        <x:v>0</x:v>
      </x:c>
      <x:c r="AI11" t="b">
        <x:v>0</x:v>
      </x:c>
    </x:row>
    <x:row r="12">
      <x:c r="A12" t="str">
        <x:f>'원시결과'!A16</x:f>
        <x:v>C03</x:v>
      </x:c>
      <x:c r="B12" t="str">
        <x:f>'원시결과'!B16</x:f>
        <x:v>combined</x:v>
      </x:c>
      <x:c r="C12" t="str">
        <x:f>'원시결과'!C16</x:f>
        <x:v>structured-resolution</x:v>
      </x:c>
      <x:c r="D12" t="str">
        <x:f>'원시결과'!D16</x:f>
        <x:v>fp32</x:v>
      </x:c>
      <x:c r="E12" t="str">
        <x:f>'원시결과'!H16</x:f>
        <x:v>완료</x:v>
      </x:c>
      <x:c r="F12" s="3" t="n">
        <x:f>IF('원시결과'!J16="","",'원시결과'!J16)</x:f>
        <x:v>0.7318819382580608</x:v>
      </x:c>
      <x:c r="G12" s="3" t="n">
        <x:f>IF('원시결과'!Q16="","",'원시결과'!Q16)</x:f>
        <x:v>0.5939927335145</x:v>
      </x:c>
      <x:c r="H12" s="3" t="n">
        <x:f>IF('원시결과'!X16="","",'원시결과'!X16)</x:f>
        <x:v>0.7353064144990077</x:v>
      </x:c>
      <x:c r="I12" s="6" t="n">
        <x:f>IF(F12="","",F12-INDEX(F$2:F$23,MATCH("B01",$A$2:$A$23,0)))</x:f>
        <x:v>-0.005976988907707703</x:v>
      </x:c>
      <x:c r="J12" s="6" t="n">
        <x:f>IF(G12="","",G12-INDEX(G$2:G$23,MATCH("B01",$A$2:$A$23,0)))</x:f>
        <x:v>-0.008649962370650521</x:v>
      </x:c>
      <x:c r="K12" s="6" t="n">
        <x:f>IF(H12="","",H12-INDEX(H$2:H$23,MATCH("B01",$A$2:$A$23,0)))</x:f>
        <x:v>0.023299332793788374</x:v>
      </x:c>
      <x:c r="L12" s="4" t="n">
        <x:f>IF('원시결과'!Z16="","",'원시결과'!Z16)</x:f>
        <x:v>36.29605549576809</x:v>
      </x:c>
      <x:c r="M12" s="4" t="n">
        <x:f>IF('원시결과'!AA16="","",'원시결과'!AA16)</x:f>
        <x:v>37.83398185187252</x:v>
      </x:c>
      <x:c r="N12" s="4" t="n">
        <x:f>IF('원시결과'!AB16="","",'원시결과'!AB16)</x:f>
        <x:v>38.43529751844471</x:v>
      </x:c>
      <x:c r="O12" s="4" t="n">
        <x:f>IF('원시결과'!AH16="","",'원시결과'!AH16)</x:f>
        <x:v>27.61747318513789</x:v>
      </x:c>
      <x:c r="P12" s="7" t="n">
        <x:f>IF('원시결과'!AE16="","",'원시결과'!AE16)</x:f>
        <x:v>0.00487708089505782</x:v>
      </x:c>
      <x:c r="Q12" s="4" t="n">
        <x:f>IF('원시결과'!AF16="","",'원시결과'!AF16)</x:f>
        <x:v>35.86461110025129</x:v>
      </x:c>
      <x:c r="R12" s="4" t="n">
        <x:f>IF('원시결과'!AG16="","",'원시결과'!AG16)</x:f>
        <x:v>36.744364569079</x:v>
      </x:c>
      <x:c r="S12" s="8" t="n">
        <x:f>IF('원시결과'!AI16="","",'원시결과'!AI16/1048576)</x:f>
        <x:v>893.1865234375</x:v>
      </x:c>
      <x:c r="T12" s="8" t="n">
        <x:f>IF('원시결과'!AK16="","",'원시결과'!AK16/1048576)</x:f>
        <x:v>122.59409713745117</x:v>
      </x:c>
      <x:c r="U12" s="7" t="n">
        <x:f>IF(L12="","",(INDEX(L$2:L$23,MATCH("B01",$A$2:$A$23,0))-L12)/INDEX(L$2:L$23,MATCH("B01",$A$2:$A$23,0)))</x:f>
        <x:v>0.20786006289614514</x:v>
      </x:c>
      <x:c r="V12" s="4" t="n">
        <x:f>IF(L12="","",INDEX(L$2:L$23,MATCH("B01",$A$2:$A$23,0))/L12)</x:f>
        <x:v>1.2624032107964445</x:v>
      </x:c>
      <x:c r="W12" s="7" t="n">
        <x:f>IF(S12="","",(INDEX(S$2:S$23,MATCH("B01",$A$2:$A$23,0))-S12)/INDEX(S$2:S$23,MATCH("B01",$A$2:$A$23,0)))</x:f>
        <x:v>0.0052974788307482154</x:v>
      </x:c>
      <x:c r="X12" s="7" t="n">
        <x:f>IF(T12="","",(INDEX(T$2:T$23,MATCH("B01",$A$2:$A$23,0))-T12)/INDEX(T$2:T$23,MATCH("B01",$A$2:$A$23,0)))</x:f>
        <x:v>0.052155964023856645</x:v>
      </x:c>
      <x:c r="Y12" t="b">
        <x:v>1</x:v>
      </x:c>
      <x:c r="Z12" t="b">
        <x:f>AND(I12&gt;=-'평가기준'!$B$10,J12&gt;=-'평가기준'!$B$11,K12&gt;=-'평가기준'!$B$12)</x:f>
        <x:v>1</x:v>
      </x:c>
      <x:c r="AA12" t="b">
        <x:f>AND(Y12,Z12)</x:f>
        <x:v>1</x:v>
      </x:c>
      <x:c r="AB12" t="b">
        <x:v>0</x:v>
      </x:c>
      <x:c r="AC12" t="b">
        <x:f>P12&gt;'평가기준'!$B$9</x:f>
        <x:v>0</x:v>
      </x:c>
      <x:c r="AD12" t="b">
        <x:f>AND(Y12,M12&gt;'평가기준'!$B$14)</x:f>
        <x:v>1</x:v>
      </x:c>
      <x:c r="AE12" s="5"/>
      <x:c r="AF12" t="b">
        <x:f>AND(Y12,L12&lt;='평가기준'!$B$14)</x:f>
        <x:v>0</x:v>
      </x:c>
      <x:c r="AG12" t="b">
        <x:f>AND(AB12,AF12,NOT(AI12))</x:f>
        <x:v>0</x:v>
      </x:c>
      <x:c r="AH12" t="b">
        <x:v>0</x:v>
      </x:c>
      <x:c r="AI12" t="b">
        <x:v>0</x:v>
      </x:c>
    </x:row>
    <x:row r="13">
      <x:c r="A13" t="str">
        <x:f>'원시결과'!A17</x:f>
        <x:v>C04</x:v>
      </x:c>
      <x:c r="B13" t="str">
        <x:f>'원시결과'!B17</x:f>
        <x:v>combined</x:v>
      </x:c>
      <x:c r="C13" t="str">
        <x:f>'원시결과'!C17</x:f>
        <x:v>structured-resolution</x:v>
      </x:c>
      <x:c r="D13" t="str">
        <x:f>'원시결과'!D17</x:f>
        <x:v>fp32</x:v>
      </x:c>
      <x:c r="E13" t="str">
        <x:f>'원시결과'!H17</x:f>
        <x:v>완료</x:v>
      </x:c>
      <x:c r="F13" s="3" t="n">
        <x:f>IF('원시결과'!J17="","",'원시결과'!J17)</x:f>
        <x:v>0.7310415390195883</x:v>
      </x:c>
      <x:c r="G13" s="3" t="n">
        <x:f>IF('원시결과'!Q17="","",'원시결과'!Q17)</x:f>
        <x:v>0.599605674186933</x:v>
      </x:c>
      <x:c r="H13" s="3" t="n">
        <x:f>IF('원시결과'!X17="","",'원시결과'!X17)</x:f>
        <x:v>0.7281783411589681</x:v>
      </x:c>
      <x:c r="I13" s="6" t="n">
        <x:f>IF(F13="","",F13-INDEX(F$2:F$23,MATCH("B01",$A$2:$A$23,0)))</x:f>
        <x:v>-0.006817388146180159</x:v>
      </x:c>
      <x:c r="J13" s="6" t="n">
        <x:f>IF(G13="","",G13-INDEX(G$2:G$23,MATCH("B01",$A$2:$A$23,0)))</x:f>
        <x:v>-0.0030370216982175124</x:v>
      </x:c>
      <x:c r="K13" s="6" t="n">
        <x:f>IF(H13="","",H13-INDEX(H$2:H$23,MATCH("B01",$A$2:$A$23,0)))</x:f>
        <x:v>0.016171259453748754</x:v>
      </x:c>
      <x:c r="L13" s="4" t="n">
        <x:f>IF('원시결과'!Z17="","",'원시결과'!Z17)</x:f>
        <x:v>41.97326050052652</x:v>
      </x:c>
      <x:c r="M13" s="4" t="n">
        <x:f>IF('원시결과'!AA17="","",'원시결과'!AA17)</x:f>
        <x:v>43.17550875166489</x:v>
      </x:c>
      <x:c r="N13" s="4" t="n">
        <x:f>IF('원시결과'!AB17="","",'원시결과'!AB17)</x:f>
        <x:v>43.62850303696177</x:v>
      </x:c>
      <x:c r="O13" s="4" t="n">
        <x:f>IF('원시결과'!AH17="","",'원시결과'!AH17)</x:f>
        <x:v>23.94615843830737</x:v>
      </x:c>
      <x:c r="P13" s="7" t="n">
        <x:f>IF('원시결과'!AE17="","",'원시결과'!AE17)</x:f>
        <x:v>0.002552756139084348</x:v>
      </x:c>
      <x:c r="Q13" s="4" t="n">
        <x:f>IF('원시결과'!AF17="","",'원시결과'!AF17)</x:f>
        <x:v>41.68941190833523</x:v>
      </x:c>
      <x:c r="R13" s="4" t="n">
        <x:f>IF('원시결과'!AG17="","",'원시결과'!AG17)</x:f>
        <x:v>42.22156775689852</x:v>
      </x:c>
      <x:c r="S13" s="8" t="n">
        <x:f>IF('원시결과'!AI17="","",'원시결과'!AI17/1048576)</x:f>
        <x:v>896.27587890625</x:v>
      </x:c>
      <x:c r="T13" s="8" t="n">
        <x:f>IF('원시결과'!AK17="","",'원시결과'!AK17/1048576)</x:f>
        <x:v>122.99455642700195</x:v>
      </x:c>
      <x:c r="U13" s="7" t="n">
        <x:f>IF(L13="","",(INDEX(L$2:L$23,MATCH("B01",$A$2:$A$23,0))-L13)/INDEX(L$2:L$23,MATCH("B01",$A$2:$A$23,0)))</x:f>
        <x:v>0.08395842251212664</x:v>
      </x:c>
      <x:c r="V13" s="4" t="n">
        <x:f>IF(L13="","",INDEX(L$2:L$23,MATCH("B01",$A$2:$A$23,0))/L13)</x:f>
        <x:v>1.091653506320501</x:v>
      </x:c>
      <x:c r="W13" s="7" t="n">
        <x:f>IF(S13="","",(INDEX(S$2:S$23,MATCH("B01",$A$2:$A$23,0))-S13)/INDEX(S$2:S$23,MATCH("B01",$A$2:$A$23,0)))</x:f>
        <x:v>0.0018569996106554258</x:v>
      </x:c>
      <x:c r="X13" s="7" t="n">
        <x:f>IF(T13="","",(INDEX(T$2:T$23,MATCH("B01",$A$2:$A$23,0))-T13)/INDEX(T$2:T$23,MATCH("B01",$A$2:$A$23,0)))</x:f>
        <x:v>0.049059787632701544</x:v>
      </x:c>
      <x:c r="Y13" t="b">
        <x:v>1</x:v>
      </x:c>
      <x:c r="Z13" t="b">
        <x:f>AND(I13&gt;=-'평가기준'!$B$10,J13&gt;=-'평가기준'!$B$11,K13&gt;=-'평가기준'!$B$12)</x:f>
        <x:v>1</x:v>
      </x:c>
      <x:c r="AA13" t="b">
        <x:f>AND(Y13,Z13)</x:f>
        <x:v>1</x:v>
      </x:c>
      <x:c r="AB13" t="b">
        <x:v>0</x:v>
      </x:c>
      <x:c r="AC13" t="b">
        <x:f>P13&gt;'평가기준'!$B$9</x:f>
        <x:v>0</x:v>
      </x:c>
      <x:c r="AD13" t="b">
        <x:f>AND(Y13,M13&gt;'평가기준'!$B$14)</x:f>
        <x:v>1</x:v>
      </x:c>
      <x:c r="AE13" s="5"/>
      <x:c r="AF13" t="b">
        <x:f>AND(Y13,L13&lt;='평가기준'!$B$14)</x:f>
        <x:v>0</x:v>
      </x:c>
      <x:c r="AG13" t="b">
        <x:f>AND(AB13,AF13,NOT(AI13))</x:f>
        <x:v>0</x:v>
      </x:c>
      <x:c r="AH13" t="b">
        <x:v>0</x:v>
      </x:c>
      <x:c r="AI13" t="b">
        <x:v>0</x:v>
      </x:c>
    </x:row>
    <x:row r="14">
      <x:c r="A14" t="str">
        <x:f>'원시결과'!A18</x:f>
        <x:v>R01</x:v>
      </x:c>
      <x:c r="B14" t="str">
        <x:f>'원시결과'!B18</x:f>
        <x:v>input</x:v>
      </x:c>
      <x:c r="C14" t="str">
        <x:f>'원시결과'!C18</x:f>
        <x:v>input-resolution</x:v>
      </x:c>
      <x:c r="D14" t="str">
        <x:f>'원시결과'!D18</x:f>
        <x:v>fp16</x:v>
      </x:c>
      <x:c r="E14" t="str">
        <x:f>'원시결과'!H18</x:f>
        <x:v>완료</x:v>
      </x:c>
      <x:c r="F14" s="3" t="n">
        <x:f>IF('원시결과'!J18="","",'원시결과'!J18)</x:f>
        <x:v>0.7287984799915459</x:v>
      </x:c>
      <x:c r="G14" s="3" t="n">
        <x:f>IF('원시결과'!Q18="","",'원시결과'!Q18)</x:f>
        <x:v>0.5941087991992697</x:v>
      </x:c>
      <x:c r="H14" s="3" t="n">
        <x:f>IF('원시결과'!X18="","",'원시결과'!X18)</x:f>
        <x:v>0.7034388832290747</x:v>
      </x:c>
      <x:c r="I14" s="6" t="n">
        <x:f>IF(F14="","",F14-INDEX(F$2:F$23,MATCH("B01",$A$2:$A$23,0)))</x:f>
        <x:v>-0.009060447174222608</x:v>
      </x:c>
      <x:c r="J14" s="6" t="n">
        <x:f>IF(G14="","",G14-INDEX(G$2:G$23,MATCH("B01",$A$2:$A$23,0)))</x:f>
        <x:v>-0.008533896685880782</x:v>
      </x:c>
      <x:c r="K14" s="6" t="n">
        <x:f>IF(H14="","",H14-INDEX(H$2:H$23,MATCH("B01",$A$2:$A$23,0)))</x:f>
        <x:v>-0.00856819847614465</x:v>
      </x:c>
      <x:c r="L14" s="4" t="n">
        <x:f>IF('원시결과'!Z18="","",'원시결과'!Z18)</x:f>
        <x:v>24.01029550310341</x:v>
      </x:c>
      <x:c r="M14" s="4" t="n">
        <x:f>IF('원시결과'!AA18="","",'원시결과'!AA18)</x:f>
        <x:v>25.82094540157414</x:v>
      </x:c>
      <x:c r="N14" s="4" t="n">
        <x:f>IF('원시결과'!AB18="","",'원시결과'!AB18)</x:f>
        <x:v>26.43697994106333</x:v>
      </x:c>
      <x:c r="O14" s="4" t="n">
        <x:f>IF('원시결과'!AH18="","",'원시결과'!AH18)</x:f>
        <x:v>41.48493664079673</x:v>
      </x:c>
      <x:c r="P14" s="7" t="n">
        <x:f>IF('원시결과'!AE18="","",'원시결과'!AE18)</x:f>
        <x:v>0.03824869827552258</x:v>
      </x:c>
      <x:c r="Q14" s="4" t="n">
        <x:f>IF('원시결과'!AF18="","",'원시결과'!AF18)</x:f>
        <x:v>21.72827670675453</x:v>
      </x:c>
      <x:c r="R14" s="4" t="n">
        <x:f>IF('원시결과'!AG18="","",'원시결과'!AG18)</x:f>
        <x:v>26.29121895981582</x:v>
      </x:c>
      <x:c r="S14" s="8" t="n">
        <x:f>IF('원시결과'!AI18="","",'원시결과'!AI18/1048576)</x:f>
        <x:v>893.1865234375</x:v>
      </x:c>
      <x:c r="T14" s="8" t="n">
        <x:f>IF('원시결과'!AK18="","",'원시결과'!AK18/1048576)</x:f>
        <x:v>68.05361557006836</x:v>
      </x:c>
      <x:c r="U14" s="7" t="n">
        <x:f>IF(L14="","",(INDEX(L$2:L$23,MATCH("B01",$A$2:$A$23,0))-L14)/INDEX(L$2:L$23,MATCH("B01",$A$2:$A$23,0)))</x:f>
        <x:v>0.4759895060252244</x:v>
      </x:c>
      <x:c r="V14" s="4" t="n">
        <x:f>IF(L14="","",INDEX(L$2:L$23,MATCH("B01",$A$2:$A$23,0))/L14)</x:f>
        <x:v>1.9083587284954968</x:v>
      </x:c>
      <x:c r="W14" s="7" t="n">
        <x:f>IF(S14="","",(INDEX(S$2:S$23,MATCH("B01",$A$2:$A$23,0))-S14)/INDEX(S$2:S$23,MATCH("B01",$A$2:$A$23,0)))</x:f>
        <x:v>0.0052974788307482154</x:v>
      </x:c>
      <x:c r="X14" s="7" t="n">
        <x:f>IF(T14="","",(INDEX(T$2:T$23,MATCH("B01",$A$2:$A$23,0))-T14)/INDEX(T$2:T$23,MATCH("B01",$A$2:$A$23,0)))</x:f>
        <x:v>0.4738391557924597</x:v>
      </x:c>
      <x:c r="Y14" t="b">
        <x:v>1</x:v>
      </x:c>
      <x:c r="Z14" t="b">
        <x:f>AND(I14&gt;=-'평가기준'!$B$10,J14&gt;=-'평가기준'!$B$11,K14&gt;=-'평가기준'!$B$12)</x:f>
        <x:v>1</x:v>
      </x:c>
      <x:c r="AA14" t="b">
        <x:f>AND(Y14,Z14)</x:f>
        <x:v>1</x:v>
      </x:c>
      <x:c r="AB14" t="b">
        <x:v>1</x:v>
      </x:c>
      <x:c r="AC14" t="b">
        <x:f>P14&gt;'평가기준'!$B$9</x:f>
        <x:v>0</x:v>
      </x:c>
      <x:c r="AD14" t="b">
        <x:f>AND(Y14,M14&gt;'평가기준'!$B$14)</x:f>
        <x:v>0</x:v>
      </x:c>
      <x:c r="AE14" s="5"/>
      <x:c r="AF14" t="b">
        <x:f>AND(Y14,L14&lt;='평가기준'!$B$14)</x:f>
        <x:v>1</x:v>
      </x:c>
      <x:c r="AG14" t="b">
        <x:f>AND(AB14,AF14,NOT(AI14))</x:f>
        <x:v>1</x:v>
      </x:c>
      <x:c r="AH14" t="b">
        <x:v>0</x:v>
      </x:c>
      <x:c r="AI14" t="b">
        <x:v>0</x:v>
      </x:c>
    </x:row>
    <x:row r="15">
      <x:c r="A15" t="str">
        <x:f>'원시결과'!A19</x:f>
        <x:v>R02</x:v>
      </x:c>
      <x:c r="B15" t="str">
        <x:f>'원시결과'!B19</x:f>
        <x:v>input</x:v>
      </x:c>
      <x:c r="C15" t="str">
        <x:f>'원시결과'!C19</x:f>
        <x:v>input-resolution</x:v>
      </x:c>
      <x:c r="D15" t="str">
        <x:f>'원시결과'!D19</x:f>
        <x:v>fp32</x:v>
      </x:c>
      <x:c r="E15" t="str">
        <x:f>'원시결과'!H19</x:f>
        <x:v>완료</x:v>
      </x:c>
      <x:c r="F15" s="3" t="n">
        <x:f>IF('원시결과'!J19="","",'원시결과'!J19)</x:f>
        <x:v>0.7329731311010346</x:v>
      </x:c>
      <x:c r="G15" s="3" t="n">
        <x:f>IF('원시결과'!Q19="","",'원시결과'!Q19)</x:f>
        <x:v>0.5997268915175692</x:v>
      </x:c>
      <x:c r="H15" s="3" t="n">
        <x:f>IF('원시결과'!X19="","",'원시결과'!X19)</x:f>
        <x:v>0.7107549105524779</x:v>
      </x:c>
      <x:c r="I15" s="6" t="n">
        <x:f>IF(F15="","",F15-INDEX(F$2:F$23,MATCH("B01",$A$2:$A$23,0)))</x:f>
        <x:v>-0.004885796064733938</x:v>
      </x:c>
      <x:c r="J15" s="6" t="n">
        <x:f>IF(G15="","",G15-INDEX(G$2:G$23,MATCH("B01",$A$2:$A$23,0)))</x:f>
        <x:v>-0.0029158043675813206</x:v>
      </x:c>
      <x:c r="K15" s="6" t="n">
        <x:f>IF(H15="","",H15-INDEX(H$2:H$23,MATCH("B01",$A$2:$A$23,0)))</x:f>
        <x:v>-0.0012521711527414547</x:v>
      </x:c>
      <x:c r="L15" s="4" t="n">
        <x:f>IF('원시결과'!Z19="","",'원시결과'!Z19)</x:f>
        <x:v>42.96294300002046</x:v>
      </x:c>
      <x:c r="M15" s="4" t="n">
        <x:f>IF('원시결과'!AA19="","",'원시결과'!AA19)</x:f>
        <x:v>44.72060505286208</x:v>
      </x:c>
      <x:c r="N15" s="4" t="n">
        <x:f>IF('원시결과'!AB19="","",'원시결과'!AB19)</x:f>
        <x:v>45.70533483325562</x:v>
      </x:c>
      <x:c r="O15" s="4" t="n">
        <x:f>IF('원시결과'!AH19="","",'원시결과'!AH19)</x:f>
        <x:v>23.34253861204317</x:v>
      </x:c>
      <x:c r="P15" s="7" t="n">
        <x:f>IF('원시결과'!AE19="","",'원시결과'!AE19)</x:f>
        <x:v>0.01259339805367014</x:v>
      </x:c>
      <x:c r="Q15" s="4" t="n">
        <x:f>IF('원시결과'!AF19="","",'원시결과'!AF19)</x:f>
        <x:v>41.47482925676148</x:v>
      </x:c>
      <x:c r="R15" s="4" t="n">
        <x:f>IF('원시결과'!AG19="","",'원시결과'!AG19)</x:f>
        <x:v>44.15382974199612</x:v>
      </x:c>
      <x:c r="S15" s="8" t="n">
        <x:f>IF('원시결과'!AI19="","",'원시결과'!AI19/1048576)</x:f>
        <x:v>896.27587890625</x:v>
      </x:c>
      <x:c r="T15" s="8" t="n">
        <x:f>IF('원시결과'!AK19="","",'원시결과'!AK19/1048576)</x:f>
        <x:v>129.08879470825195</x:v>
      </x:c>
      <x:c r="U15" s="7" t="n">
        <x:f>IF(L15="","",(INDEX(L$2:L$23,MATCH("B01",$A$2:$A$23,0))-L15)/INDEX(L$2:L$23,MATCH("B01",$A$2:$A$23,0)))</x:f>
        <x:v>0.06235918749350816</x:v>
      </x:c>
      <x:c r="V15" s="4" t="n">
        <x:f>IF(L15="","",INDEX(L$2:L$23,MATCH("B01",$A$2:$A$23,0))/L15)</x:f>
        <x:v>1.0665064773863782</x:v>
      </x:c>
      <x:c r="W15" s="7" t="n">
        <x:f>IF(S15="","",(INDEX(S$2:S$23,MATCH("B01",$A$2:$A$23,0))-S15)/INDEX(S$2:S$23,MATCH("B01",$A$2:$A$23,0)))</x:f>
        <x:v>0.0018569996106554258</x:v>
      </x:c>
      <x:c r="X15" s="7" t="n">
        <x:f>IF(T15="","",(INDEX(T$2:T$23,MATCH("B01",$A$2:$A$23,0))-T15)/INDEX(T$2:T$23,MATCH("B01",$A$2:$A$23,0)))</x:f>
        <x:v>0.0019417979123327704</x:v>
      </x:c>
      <x:c r="Y15" t="b">
        <x:v>1</x:v>
      </x:c>
      <x:c r="Z15" t="b">
        <x:f>AND(I15&gt;=-'평가기준'!$B$10,J15&gt;=-'평가기준'!$B$11,K15&gt;=-'평가기준'!$B$12)</x:f>
        <x:v>1</x:v>
      </x:c>
      <x:c r="AA15" t="b">
        <x:f>AND(Y15,Z15)</x:f>
        <x:v>1</x:v>
      </x:c>
      <x:c r="AB15" t="b">
        <x:v>0</x:v>
      </x:c>
      <x:c r="AC15" t="b">
        <x:f>P15&gt;'평가기준'!$B$9</x:f>
        <x:v>0</x:v>
      </x:c>
      <x:c r="AD15" t="b">
        <x:f>AND(Y15,M15&gt;'평가기준'!$B$14)</x:f>
        <x:v>1</x:v>
      </x:c>
      <x:c r="AE15" s="5"/>
      <x:c r="AF15" t="b">
        <x:f>AND(Y15,L15&lt;='평가기준'!$B$14)</x:f>
        <x:v>0</x:v>
      </x:c>
      <x:c r="AG15" t="b">
        <x:f>AND(AB15,AF15,NOT(AI15))</x:f>
        <x:v>0</x:v>
      </x:c>
      <x:c r="AH15" t="b">
        <x:v>0</x:v>
      </x:c>
      <x:c r="AI15" t="b">
        <x:v>0</x:v>
      </x:c>
    </x:row>
    <x:row r="16">
      <x:c r="A16" t="str">
        <x:f>'원시결과'!A20</x:f>
        <x:v>R03</x:v>
      </x:c>
      <x:c r="B16" t="str">
        <x:f>'원시결과'!B20</x:f>
        <x:v>input</x:v>
      </x:c>
      <x:c r="C16" t="str">
        <x:f>'원시결과'!C20</x:f>
        <x:v>input-resolution</x:v>
      </x:c>
      <x:c r="D16" t="str">
        <x:f>'원시결과'!D20</x:f>
        <x:v>fp32</x:v>
      </x:c>
      <x:c r="E16" t="str">
        <x:f>'원시결과'!H20</x:f>
        <x:v>완료</x:v>
      </x:c>
      <x:c r="F16" s="3" t="n">
        <x:f>IF('원시결과'!J20="","",'원시결과'!J20)</x:f>
        <x:v>0.7264564082481132</x:v>
      </x:c>
      <x:c r="G16" s="3" t="n">
        <x:f>IF('원시결과'!Q20="","",'원시결과'!Q20)</x:f>
        <x:v>0.5865409277639649</x:v>
      </x:c>
      <x:c r="H16" s="3" t="n">
        <x:f>IF('원시결과'!X20="","",'원시결과'!X20)</x:f>
        <x:v>0.7281027967504808</x:v>
      </x:c>
      <x:c r="I16" s="6" t="n">
        <x:f>IF(F16="","",F16-INDEX(F$2:F$23,MATCH("B01",$A$2:$A$23,0)))</x:f>
        <x:v>-0.011402518917655313</x:v>
      </x:c>
      <x:c r="J16" s="6" t="n">
        <x:f>IF(G16="","",G16-INDEX(G$2:G$23,MATCH("B01",$A$2:$A$23,0)))</x:f>
        <x:v>-0.016101768121185578</x:v>
      </x:c>
      <x:c r="K16" s="6" t="n">
        <x:f>IF(H16="","",H16-INDEX(H$2:H$23,MATCH("B01",$A$2:$A$23,0)))</x:f>
        <x:v>0.016095715045261527</x:v>
      </x:c>
      <x:c r="L16" s="4" t="n">
        <x:f>IF('원시결과'!Z20="","",'원시결과'!Z20)</x:f>
        <x:v>32.38640950439731</x:v>
      </x:c>
      <x:c r="M16" s="4" t="n">
        <x:f>IF('원시결과'!AA20="","",'원시결과'!AA20)</x:f>
        <x:v>34.87514885164273</x:v>
      </x:c>
      <x:c r="N16" s="4" t="n">
        <x:f>IF('원시결과'!AB20="","",'원시결과'!AB20)</x:f>
        <x:v>36.24967907417157</x:v>
      </x:c>
      <x:c r="O16" s="4" t="n">
        <x:f>IF('원시결과'!AH20="","",'원시결과'!AH20)</x:f>
        <x:v>30.72481289850273</x:v>
      </x:c>
      <x:c r="P16" s="7" t="n">
        <x:f>IF('원시결과'!AE20="","",'원시결과'!AE20)</x:f>
        <x:v>0.01847867354756684</x:v>
      </x:c>
      <x:c r="Q16" s="4" t="n">
        <x:f>IF('원시결과'!AF20="","",'원시결과'!AF20)</x:f>
        <x:v>30.92473606349131</x:v>
      </x:c>
      <x:c r="R16" s="4" t="n">
        <x:f>IF('원시결과'!AG20="","",'원시결과'!AG20)</x:f>
        <x:v>33.90069493400081</x:v>
      </x:c>
      <x:c r="S16" s="8" t="n">
        <x:f>IF('원시결과'!AI20="","",'원시결과'!AI20/1048576)</x:f>
        <x:v>890.42236328125</x:v>
      </x:c>
      <x:c r="T16" s="8" t="n">
        <x:f>IF('원시결과'!AK20="","",'원시결과'!AK20/1048576)</x:f>
        <x:v>128.2463264465332</x:v>
      </x:c>
      <x:c r="U16" s="7" t="n">
        <x:f>IF(L16="","",(INDEX(L$2:L$23,MATCH("B01",$A$2:$A$23,0))-L16)/INDEX(L$2:L$23,MATCH("B01",$A$2:$A$23,0)))</x:f>
        <x:v>0.29318577356638253</x:v>
      </x:c>
      <x:c r="V16" s="4" t="n">
        <x:f>IF(L16="","",INDEX(L$2:L$23,MATCH("B01",$A$2:$A$23,0))/L16)</x:f>
        <x:v>1.4147989140593762</x:v>
      </x:c>
      <x:c r="W16" s="7" t="n">
        <x:f>IF(S16="","",(INDEX(S$2:S$23,MATCH("B01",$A$2:$A$23,0))-S16)/INDEX(S$2:S$23,MATCH("B01",$A$2:$A$23,0)))</x:f>
        <x:v>0.008375802343462817</x:v>
      </x:c>
      <x:c r="X16" s="7" t="n">
        <x:f>IF(T16="","",(INDEX(T$2:T$23,MATCH("B01",$A$2:$A$23,0))-T16)/INDEX(T$2:T$23,MATCH("B01",$A$2:$A$23,0)))</x:f>
        <x:v>0.008455394700553367</x:v>
      </x:c>
      <x:c r="Y16" t="b">
        <x:v>1</x:v>
      </x:c>
      <x:c r="Z16" t="b">
        <x:f>AND(I16&gt;=-'평가기준'!$B$10,J16&gt;=-'평가기준'!$B$11,K16&gt;=-'평가기준'!$B$12)</x:f>
        <x:v>0</x:v>
      </x:c>
      <x:c r="AA16" t="b">
        <x:f>AND(Y16,Z16)</x:f>
        <x:v>0</x:v>
      </x:c>
      <x:c r="AB16" t="b">
        <x:v>0</x:v>
      </x:c>
      <x:c r="AC16" t="b">
        <x:f>P16&gt;'평가기준'!$B$9</x:f>
        <x:v>0</x:v>
      </x:c>
      <x:c r="AD16" t="b">
        <x:f>AND(Y16,M16&gt;'평가기준'!$B$14)</x:f>
        <x:v>1</x:v>
      </x:c>
      <x:c r="AE16" s="5" t="s">
        <x:v>302</x:v>
      </x:c>
      <x:c r="AF16" t="b">
        <x:f>AND(Y16,L16&lt;='평가기준'!$B$14)</x:f>
        <x:v>1</x:v>
      </x:c>
      <x:c r="AG16" t="b">
        <x:f>AND(AB16,AF16,NOT(AI16))</x:f>
        <x:v>0</x:v>
      </x:c>
      <x:c r="AH16" t="b">
        <x:v>0</x:v>
      </x:c>
      <x:c r="AI16" t="b">
        <x:v>0</x:v>
      </x:c>
    </x:row>
    <x:row r="17">
      <x:c r="A17" t="str">
        <x:f>'원시결과'!A21</x:f>
        <x:v>Q01</x:v>
      </x:c>
      <x:c r="B17" t="str">
        <x:f>'원시결과'!B21</x:f>
        <x:v>precision</x:v>
      </x:c>
      <x:c r="C17" t="str">
        <x:f>'원시결과'!C21</x:f>
        <x:v>modelopt-int8-smoothquant</x:v>
      </x:c>
      <x:c r="D17" t="str">
        <x:f>'원시결과'!D21</x:f>
        <x:v>int8</x:v>
      </x:c>
      <x:c r="E17" t="str">
        <x:f>'원시결과'!H21</x:f>
        <x:v>완료</x:v>
      </x:c>
      <x:c r="F17" s="3" t="n">
        <x:f>IF('원시결과'!J21="","",'원시결과'!J21)</x:f>
        <x:v>0.593151862332506</x:v>
      </x:c>
      <x:c r="G17" s="3" t="n">
        <x:f>IF('원시결과'!Q21="","",'원시결과'!Q21)</x:f>
        <x:v>0.47432176245291</x:v>
      </x:c>
      <x:c r="H17" s="3" t="n">
        <x:f>IF('원시결과'!X21="","",'원시결과'!X21)</x:f>
        <x:v>0.6590965538365575</x:v>
      </x:c>
      <x:c r="I17" s="6" t="n">
        <x:f>IF(F17="","",F17-INDEX(F$2:F$23,MATCH("B01",$A$2:$A$23,0)))</x:f>
        <x:v>-0.14470706483326246</x:v>
      </x:c>
      <x:c r="J17" s="6" t="n">
        <x:f>IF(G17="","",G17-INDEX(G$2:G$23,MATCH("B01",$A$2:$A$23,0)))</x:f>
        <x:v>-0.1283209334322405</x:v>
      </x:c>
      <x:c r="K17" s="6" t="n">
        <x:f>IF(H17="","",H17-INDEX(H$2:H$23,MATCH("B01",$A$2:$A$23,0)))</x:f>
        <x:v>-0.052910527868661794</x:v>
      </x:c>
      <x:c r="L17" s="4" t="n">
        <x:f>IF('원시결과'!Z21="","",'원시결과'!Z21)</x:f>
        <x:v>25.11397199850762</x:v>
      </x:c>
      <x:c r="M17" s="4" t="n">
        <x:f>IF('원시결과'!AA21="","",'원시결과'!AA21)</x:f>
        <x:v>27.84945969469845</x:v>
      </x:c>
      <x:c r="N17" s="4" t="n">
        <x:f>IF('원시결과'!AB21="","",'원시결과'!AB21)</x:f>
        <x:v>28.66369779185333</x:v>
      </x:c>
      <x:c r="O17" s="4" t="n">
        <x:f>IF('원시결과'!AH21="","",'원시결과'!AH21)</x:f>
        <x:v>39.34386851330022</x:v>
      </x:c>
      <x:c r="P17" s="7" t="n">
        <x:f>IF('원시결과'!AE21="","",'원시결과'!AE21)</x:f>
        <x:v>0.01094970893219685</x:v>
      </x:c>
      <x:c r="Q17" s="4" t="n">
        <x:f>IF('원시결과'!AF21="","",'원시결과'!AF21)</x:f>
        <x:v>24.42461222824067</x:v>
      </x:c>
      <x:c r="R17" s="4" t="n">
        <x:f>IF('원시결과'!AG21="","",'원시결과'!AG21)</x:f>
        <x:v>25.7906057696614</x:v>
      </x:c>
      <x:c r="S17" s="8" t="n">
        <x:f>IF('원시결과'!AI21="","",'원시결과'!AI21/1048576)</x:f>
        <x:v>897.943359375</x:v>
      </x:c>
      <x:c r="T17" s="8" t="n">
        <x:f>IF('원시결과'!AK21="","",'원시결과'!AK21/1048576)</x:f>
        <x:v>47.81473159790039</x:v>
      </x:c>
      <x:c r="U17" s="7" t="n">
        <x:f>IF(L17="","",(INDEX(L$2:L$23,MATCH("B01",$A$2:$A$23,0))-L17)/INDEX(L$2:L$23,MATCH("B01",$A$2:$A$23,0)))</x:f>
        <x:v>0.45190241948893595</x:v>
      </x:c>
      <x:c r="V17" s="4" t="n">
        <x:f>IF(L17="","",INDEX(L$2:L$23,MATCH("B01",$A$2:$A$23,0))/L17)</x:f>
        <x:v>1.8244926370000893</x:v>
      </x:c>
      <x:c r="W17" s="7" t="n">
        <x:f>IF(S17="","",(INDEX(S$2:S$23,MATCH("B01",$A$2:$A$23,0))-S17)/INDEX(S$2:S$23,MATCH("B01",$A$2:$A$23,0)))</x:f>
        <x:v>0</x:v>
      </x:c>
      <x:c r="X17" s="7" t="n">
        <x:f>IF(T17="","",(INDEX(T$2:T$23,MATCH("B01",$A$2:$A$23,0))-T17)/INDEX(T$2:T$23,MATCH("B01",$A$2:$A$23,0)))</x:f>
        <x:v>0.6303173706148623</x:v>
      </x:c>
      <x:c r="Y17" t="b">
        <x:v>1</x:v>
      </x:c>
      <x:c r="Z17" t="b">
        <x:f>AND(I17&gt;=-'평가기준'!$B$10,J17&gt;=-'평가기준'!$B$11,K17&gt;=-'평가기준'!$B$12)</x:f>
        <x:v>0</x:v>
      </x:c>
      <x:c r="AA17" t="b">
        <x:f>AND(Y17,Z17)</x:f>
        <x:v>0</x:v>
      </x:c>
      <x:c r="AB17" t="b">
        <x:v>0</x:v>
      </x:c>
      <x:c r="AC17" t="b">
        <x:f>P17&gt;'평가기준'!$B$9</x:f>
        <x:v>0</x:v>
      </x:c>
      <x:c r="AD17" t="b">
        <x:f>AND(Y17,M17&gt;'평가기준'!$B$14)</x:f>
        <x:v>0</x:v>
      </x:c>
      <x:c r="AE17" s="5" t="s">
        <x:v>302</x:v>
      </x:c>
      <x:c r="AF17" t="b">
        <x:f>AND(Y17,L17&lt;='평가기준'!$B$14)</x:f>
        <x:v>1</x:v>
      </x:c>
      <x:c r="AG17" t="b">
        <x:f>AND(AB17,AF17,NOT(AI17))</x:f>
        <x:v>0</x:v>
      </x:c>
      <x:c r="AH17" t="b">
        <x:v>0</x:v>
      </x:c>
      <x:c r="AI17" t="b">
        <x:v>0</x:v>
      </x:c>
    </x:row>
    <x:row r="18">
      <x:c r="A18" t="str">
        <x:f>'원시결과'!A22</x:f>
        <x:v>Q02</x:v>
      </x:c>
      <x:c r="B18" t="str">
        <x:f>'원시결과'!B22</x:f>
        <x:v>precision</x:v>
      </x:c>
      <x:c r="C18" t="str">
        <x:f>'원시결과'!C22</x:f>
        <x:v>modelopt-mixed-precision</x:v>
      </x:c>
      <x:c r="D18" t="str">
        <x:f>'원시결과'!D22</x:f>
        <x:v>mixed</x:v>
      </x:c>
      <x:c r="E18" t="str">
        <x:f>'원시결과'!H22</x:f>
        <x:v>완료</x:v>
      </x:c>
      <x:c r="F18" s="3" t="n">
        <x:f>IF('원시결과'!J22="","",'원시결과'!J22)</x:f>
        <x:v>0.5964751478628372</x:v>
      </x:c>
      <x:c r="G18" s="3" t="n">
        <x:f>IF('원시결과'!Q22="","",'원시결과'!Q22)</x:f>
        <x:v>0.4832228135826049</x:v>
      </x:c>
      <x:c r="H18" s="3" t="n">
        <x:f>IF('원시결과'!X22="","",'원시결과'!X22)</x:f>
        <x:v>0.650427116319593</x:v>
      </x:c>
      <x:c r="I18" s="6" t="n">
        <x:f>IF(F18="","",F18-INDEX(F$2:F$23,MATCH("B01",$A$2:$A$23,0)))</x:f>
        <x:v>-0.14138377930293133</x:v>
      </x:c>
      <x:c r="J18" s="6" t="n">
        <x:f>IF(G18="","",G18-INDEX(G$2:G$23,MATCH("B01",$A$2:$A$23,0)))</x:f>
        <x:v>-0.11941988230254563</x:v>
      </x:c>
      <x:c r="K18" s="6" t="n">
        <x:f>IF(H18="","",H18-INDEX(H$2:H$23,MATCH("B01",$A$2:$A$23,0)))</x:f>
        <x:v>-0.06157996538562627</x:v>
      </x:c>
      <x:c r="L18" s="4" t="n">
        <x:f>IF('원시결과'!Z22="","",'원시결과'!Z22)</x:f>
        <x:v>25.18349350066273</x:v>
      </x:c>
      <x:c r="M18" s="4" t="n">
        <x:f>IF('원시결과'!AA22="","",'원시결과'!AA22)</x:f>
        <x:v>27.59679680384579</x:v>
      </x:c>
      <x:c r="N18" s="4" t="n">
        <x:f>IF('원시결과'!AB22="","",'원시결과'!AB22)</x:f>
        <x:v>28.43294816477282</x:v>
      </x:c>
      <x:c r="O18" s="4" t="n">
        <x:f>IF('원시결과'!AH22="","",'원시결과'!AH22)</x:f>
        <x:v>39.31023155691929</x:v>
      </x:c>
      <x:c r="P18" s="7" t="n">
        <x:f>IF('원시결과'!AE22="","",'원시결과'!AE22)</x:f>
        <x:v>0.01318441649414913</x:v>
      </x:c>
      <x:c r="Q18" s="4" t="n">
        <x:f>IF('원시결과'!AF22="","",'원시결과'!AF22)</x:f>
        <x:v>24.47950842876084</x:v>
      </x:c>
      <x:c r="R18" s="4" t="n">
        <x:f>IF('원시결과'!AG22="","",'원시결과'!AG22)</x:f>
        <x:v>26.13744390722501</x:v>
      </x:c>
      <x:c r="S18" s="8" t="n">
        <x:f>IF('원시결과'!AI22="","",'원시결과'!AI22/1048576)</x:f>
        <x:v>897.943359375</x:v>
      </x:c>
      <x:c r="T18" s="8" t="n">
        <x:f>IF('원시결과'!AK22="","",'원시결과'!AK22/1048576)</x:f>
        <x:v>43.38985061645508</x:v>
      </x:c>
      <x:c r="U18" s="7" t="n">
        <x:f>IF(L18="","",(INDEX(L$2:L$23,MATCH("B01",$A$2:$A$23,0))-L18)/INDEX(L$2:L$23,MATCH("B01",$A$2:$A$23,0)))</x:f>
        <x:v>0.4503851538358973</x:v>
      </x:c>
      <x:c r="V18" s="4" t="n">
        <x:f>IF(L18="","",INDEX(L$2:L$23,MATCH("B01",$A$2:$A$23,0))/L18)</x:f>
        <x:v>1.8194559462489888</x:v>
      </x:c>
      <x:c r="W18" s="7" t="n">
        <x:f>IF(S18="","",(INDEX(S$2:S$23,MATCH("B01",$A$2:$A$23,0))-S18)/INDEX(S$2:S$23,MATCH("B01",$A$2:$A$23,0)))</x:f>
        <x:v>0</x:v>
      </x:c>
      <x:c r="X18" s="7" t="n">
        <x:f>IF(T18="","",(INDEX(T$2:T$23,MATCH("B01",$A$2:$A$23,0))-T18)/INDEX(T$2:T$23,MATCH("B01",$A$2:$A$23,0)))</x:f>
        <x:v>0.6645286185142193</x:v>
      </x:c>
      <x:c r="Y18" t="b">
        <x:v>1</x:v>
      </x:c>
      <x:c r="Z18" t="b">
        <x:f>AND(I18&gt;=-'평가기준'!$B$10,J18&gt;=-'평가기준'!$B$11,K18&gt;=-'평가기준'!$B$12)</x:f>
        <x:v>0</x:v>
      </x:c>
      <x:c r="AA18" t="b">
        <x:f>AND(Y18,Z18)</x:f>
        <x:v>0</x:v>
      </x:c>
      <x:c r="AB18" t="b">
        <x:v>0</x:v>
      </x:c>
      <x:c r="AC18" t="b">
        <x:f>P18&gt;'평가기준'!$B$9</x:f>
        <x:v>0</x:v>
      </x:c>
      <x:c r="AD18" t="b">
        <x:f>AND(Y18,M18&gt;'평가기준'!$B$14)</x:f>
        <x:v>0</x:v>
      </x:c>
      <x:c r="AE18" s="5" t="s">
        <x:v>302</x:v>
      </x:c>
      <x:c r="AF18" t="b">
        <x:f>AND(Y18,L18&lt;='평가기준'!$B$14)</x:f>
        <x:v>1</x:v>
      </x:c>
      <x:c r="AG18" t="b">
        <x:f>AND(AB18,AF18,NOT(AI18))</x:f>
        <x:v>0</x:v>
      </x:c>
      <x:c r="AH18" t="b">
        <x:v>0</x:v>
      </x:c>
      <x:c r="AI18" t="b">
        <x:v>0</x:v>
      </x:c>
    </x:row>
    <x:row r="19">
      <x:c r="A19" t="str">
        <x:f>'원시결과'!A23</x:f>
        <x:v>Q03</x:v>
      </x:c>
      <x:c r="B19" t="str">
        <x:f>'원시결과'!B23</x:f>
        <x:v>precision</x:v>
      </x:c>
      <x:c r="C19" t="str">
        <x:f>'원시결과'!C23</x:f>
        <x:v>modelopt-int4-weight-only</x:v>
      </x:c>
      <x:c r="D19" t="str">
        <x:f>'원시결과'!D23</x:f>
        <x:v>int4</x:v>
      </x:c>
      <x:c r="E19" t="str">
        <x:f>'원시결과'!H23</x:f>
        <x:v>엔진 생성 실패</x:v>
      </x:c>
      <x:c r="F19" s="3" t="str">
        <x:f>IF('원시결과'!J23="","",'원시결과'!J23)</x:f>
      </x:c>
      <x:c r="G19" s="3" t="str">
        <x:f>IF('원시결과'!Q23="","",'원시결과'!Q23)</x:f>
      </x:c>
      <x:c r="H19" s="3" t="str">
        <x:f>IF('원시결과'!X23="","",'원시결과'!X23)</x:f>
      </x:c>
      <x:c r="I19" s="6" t="str">
        <x:f>IF(F19="","",F19-INDEX(F$2:F$23,MATCH("B01",$A$2:$A$23,0)))</x:f>
      </x:c>
      <x:c r="J19" s="6" t="str">
        <x:f>IF(G19="","",G19-INDEX(G$2:G$23,MATCH("B01",$A$2:$A$23,0)))</x:f>
      </x:c>
      <x:c r="K19" s="6" t="str">
        <x:f>IF(H19="","",H19-INDEX(H$2:H$23,MATCH("B01",$A$2:$A$23,0)))</x:f>
      </x:c>
      <x:c r="L19" s="4" t="str">
        <x:f>IF('원시결과'!Z23="","",'원시결과'!Z23)</x:f>
      </x:c>
      <x:c r="M19" s="4" t="str">
        <x:f>IF('원시결과'!AA23="","",'원시결과'!AA23)</x:f>
      </x:c>
      <x:c r="N19" s="4" t="str">
        <x:f>IF('원시결과'!AB23="","",'원시결과'!AB23)</x:f>
      </x:c>
      <x:c r="O19" s="4" t="str">
        <x:f>IF('원시결과'!AH23="","",'원시결과'!AH23)</x:f>
      </x:c>
      <x:c r="P19" s="7" t="str">
        <x:f>IF('원시결과'!AE23="","",'원시결과'!AE23)</x:f>
      </x:c>
      <x:c r="Q19" s="4" t="str">
        <x:f>IF('원시결과'!AF23="","",'원시결과'!AF23)</x:f>
      </x:c>
      <x:c r="R19" s="4" t="str">
        <x:f>IF('원시결과'!AG23="","",'원시결과'!AG23)</x:f>
      </x:c>
      <x:c r="S19" s="8" t="str">
        <x:f>IF('원시결과'!AI23="","",'원시결과'!AI23/1048576)</x:f>
      </x:c>
      <x:c r="T19" s="8" t="str">
        <x:f>IF('원시결과'!AK23="","",'원시결과'!AK23/1048576)</x:f>
      </x:c>
      <x:c r="U19" s="7" t="str">
        <x:f>IF(L19="","",(INDEX(L$2:L$23,MATCH("B01",$A$2:$A$23,0))-L19)/INDEX(L$2:L$23,MATCH("B01",$A$2:$A$23,0)))</x:f>
      </x:c>
      <x:c r="V19" s="4" t="str">
        <x:f>IF(L19="","",INDEX(L$2:L$23,MATCH("B01",$A$2:$A$23,0))/L19)</x:f>
      </x:c>
      <x:c r="W19" s="7" t="str">
        <x:f>IF(S19="","",(INDEX(S$2:S$23,MATCH("B01",$A$2:$A$23,0))-S19)/INDEX(S$2:S$23,MATCH("B01",$A$2:$A$23,0)))</x:f>
      </x:c>
      <x:c r="X19" s="7" t="str">
        <x:f>IF(T19="","",(INDEX(T$2:T$23,MATCH("B01",$A$2:$A$23,0))-T19)/INDEX(T$2:T$23,MATCH("B01",$A$2:$A$23,0)))</x:f>
      </x:c>
      <x:c r="Y19" t="b">
        <x:v>0</x:v>
      </x:c>
      <x:c r="Z19" t="b">
        <x:f>AND(I19&gt;=-'평가기준'!$B$10,J19&gt;=-'평가기준'!$B$11,K19&gt;=-'평가기준'!$B$12)</x:f>
        <x:v>1</x:v>
      </x:c>
      <x:c r="AA19" t="b">
        <x:f>AND(Y19,Z19)</x:f>
        <x:v>0</x:v>
      </x:c>
      <x:c r="AB19" t="b">
        <x:v>0</x:v>
      </x:c>
      <x:c r="AC19" t="b">
        <x:f>P19&gt;'평가기준'!$B$9</x:f>
        <x:v>0</x:v>
      </x:c>
      <x:c r="AD19" t="b">
        <x:f>AND(Y19,M19&gt;'평가기준'!$B$14)</x:f>
        <x:v>0</x:v>
      </x:c>
      <x:c r="AE19" s="5"/>
      <x:c r="AF19" t="b">
        <x:f>AND(Y19,L19&lt;='평가기준'!$B$14)</x:f>
        <x:v>0</x:v>
      </x:c>
      <x:c r="AG19" t="b">
        <x:f>AND(AB19,AF19,NOT(AI19))</x:f>
        <x:v>0</x:v>
      </x:c>
      <x:c r="AH19" t="b">
        <x:v>0</x:v>
      </x:c>
      <x:c r="AI19" t="b">
        <x:v>0</x:v>
      </x:c>
    </x:row>
    <x:row r="20">
      <x:c r="A20" t="str">
        <x:f>'원시결과'!A24</x:f>
        <x:v>Q04</x:v>
      </x:c>
      <x:c r="B20" t="str">
        <x:f>'원시결과'!B24</x:f>
        <x:v>precision</x:v>
      </x:c>
      <x:c r="C20" t="str">
        <x:f>'원시결과'!C24</x:f>
        <x:v>modelopt-fp8</x:v>
      </x:c>
      <x:c r="D20" t="str">
        <x:f>'원시결과'!D24</x:f>
        <x:v>fp8</x:v>
      </x:c>
      <x:c r="E20" t="str">
        <x:f>'원시결과'!H24</x:f>
        <x:v>완료</x:v>
      </x:c>
      <x:c r="F20" s="3" t="n">
        <x:f>IF('원시결과'!J24="","",'원시결과'!J24)</x:f>
        <x:v>0.003579937558328639</x:v>
      </x:c>
      <x:c r="G20" s="3" t="n">
        <x:f>IF('원시결과'!Q24="","",'원시결과'!Q24)</x:f>
        <x:v>0.3702262102000943</x:v>
      </x:c>
      <x:c r="H20" s="3" t="n">
        <x:f>IF('원시결과'!X24="","",'원시결과'!X24)</x:f>
        <x:v>0.4530970899244638</x:v>
      </x:c>
      <x:c r="I20" s="6" t="n">
        <x:f>IF(F20="","",F20-INDEX(F$2:F$23,MATCH("B01",$A$2:$A$23,0)))</x:f>
        <x:v>-0.7342789896074399</x:v>
      </x:c>
      <x:c r="J20" s="6" t="n">
        <x:f>IF(G20="","",G20-INDEX(G$2:G$23,MATCH("B01",$A$2:$A$23,0)))</x:f>
        <x:v>-0.23241648568505624</x:v>
      </x:c>
      <x:c r="K20" s="6" t="n">
        <x:f>IF(H20="","",H20-INDEX(H$2:H$23,MATCH("B01",$A$2:$A$23,0)))</x:f>
        <x:v>-0.2589099917807555</x:v>
      </x:c>
      <x:c r="L20" s="4" t="n">
        <x:f>IF('원시결과'!Z24="","",'원시결과'!Z24)</x:f>
        <x:v>37.99387800245313</x:v>
      </x:c>
      <x:c r="M20" s="4" t="n">
        <x:f>IF('원시결과'!AA24="","",'원시결과'!AA24)</x:f>
        <x:v>40.58728890195198</x:v>
      </x:c>
      <x:c r="N20" s="4" t="n">
        <x:f>IF('원시결과'!AB24="","",'원시결과'!AB24)</x:f>
        <x:v>41.89420311253343</x:v>
      </x:c>
      <x:c r="O20" s="4" t="n">
        <x:f>IF('원시결과'!AH24="","",'원시결과'!AH24)</x:f>
        <x:v>26.09719079591776</x:v>
      </x:c>
      <x:c r="P20" s="7" t="n">
        <x:f>IF('원시결과'!AE24="","",'원시결과'!AE24)</x:f>
        <x:v>0.005785330737058208</x:v>
      </x:c>
      <x:c r="Q20" s="4" t="n">
        <x:f>IF('원시결과'!AF24="","",'원시결과'!AF24)</x:f>
        <x:v>37.49497810702479</x:v>
      </x:c>
      <x:c r="R20" s="4" t="n">
        <x:f>IF('원시결과'!AG24="","",'원시결과'!AG24)</x:f>
        <x:v>38.58850456295205</x:v>
      </x:c>
      <x:c r="S20" s="8" t="n">
        <x:f>IF('원시결과'!AI24="","",'원시결과'!AI24/1048576)</x:f>
        <x:v>897.943359375</x:v>
      </x:c>
      <x:c r="T20" s="8" t="n">
        <x:f>IF('원시결과'!AK24="","",'원시결과'!AK24/1048576)</x:f>
        <x:v>48.07638931274414</x:v>
      </x:c>
      <x:c r="U20" s="7" t="n">
        <x:f>IF(L20="","",(INDEX(L$2:L$23,MATCH("B01",$A$2:$A$23,0))-L20)/INDEX(L$2:L$23,MATCH("B01",$A$2:$A$23,0)))</x:f>
        <x:v>0.17080609118244727</x:v>
      </x:c>
      <x:c r="V20" s="4" t="n">
        <x:f>IF(L20="","",INDEX(L$2:L$23,MATCH("B01",$A$2:$A$23,0))/L20)</x:f>
        <x:v>1.2059905281094265</x:v>
      </x:c>
      <x:c r="W20" s="7" t="n">
        <x:f>IF(S20="","",(INDEX(S$2:S$23,MATCH("B01",$A$2:$A$23,0))-S20)/INDEX(S$2:S$23,MATCH("B01",$A$2:$A$23,0)))</x:f>
        <x:v>0</x:v>
      </x:c>
      <x:c r="X20" s="7" t="n">
        <x:f>IF(T20="","",(INDEX(T$2:T$23,MATCH("B01",$A$2:$A$23,0))-T20)/INDEX(T$2:T$23,MATCH("B01",$A$2:$A$23,0)))</x:f>
        <x:v>0.6282943474002639</x:v>
      </x:c>
      <x:c r="Y20" t="b">
        <x:v>1</x:v>
      </x:c>
      <x:c r="Z20" t="b">
        <x:f>AND(I20&gt;=-'평가기준'!$B$10,J20&gt;=-'평가기준'!$B$11,K20&gt;=-'평가기준'!$B$12)</x:f>
        <x:v>0</x:v>
      </x:c>
      <x:c r="AA20" t="b">
        <x:f>AND(Y20,Z20)</x:f>
        <x:v>0</x:v>
      </x:c>
      <x:c r="AB20" t="b">
        <x:v>0</x:v>
      </x:c>
      <x:c r="AC20" t="b">
        <x:f>P20&gt;'평가기준'!$B$9</x:f>
        <x:v>0</x:v>
      </x:c>
      <x:c r="AD20" t="b">
        <x:f>AND(Y20,M20&gt;'평가기준'!$B$14)</x:f>
        <x:v>1</x:v>
      </x:c>
      <x:c r="AE20" s="5" t="s">
        <x:v>302</x:v>
      </x:c>
      <x:c r="AF20" t="b">
        <x:f>AND(Y20,L20&lt;='평가기준'!$B$14)</x:f>
        <x:v>0</x:v>
      </x:c>
      <x:c r="AG20" t="b">
        <x:f>AND(AB20,AF20,NOT(AI20))</x:f>
        <x:v>0</x:v>
      </x:c>
      <x:c r="AH20" t="b">
        <x:v>0</x:v>
      </x:c>
      <x:c r="AI20" t="b">
        <x:v>0</x:v>
      </x:c>
    </x:row>
    <x:row r="21">
      <x:c r="A21" t="str">
        <x:f>'원시결과'!A25</x:f>
        <x:v>Q05</x:v>
      </x:c>
      <x:c r="B21" t="str">
        <x:f>'원시결과'!B25</x:f>
        <x:v>precision</x:v>
      </x:c>
      <x:c r="C21" t="str">
        <x:f>'원시결과'!C25</x:f>
        <x:v>modelopt-fp8-mixed</x:v>
      </x:c>
      <x:c r="D21" t="str">
        <x:f>'원시결과'!D25</x:f>
        <x:v>mixed</x:v>
      </x:c>
      <x:c r="E21" t="str">
        <x:f>'원시결과'!H25</x:f>
        <x:v>완료</x:v>
      </x:c>
      <x:c r="F21" s="3" t="n">
        <x:f>IF('원시결과'!J25="","",'원시결과'!J25)</x:f>
        <x:v>0.7358042388753677</x:v>
      </x:c>
      <x:c r="G21" s="3" t="n">
        <x:f>IF('원시결과'!Q25="","",'원시결과'!Q25)</x:f>
        <x:v>0.5980977119052601</x:v>
      </x:c>
      <x:c r="H21" s="3" t="n">
        <x:f>IF('원시결과'!X25="","",'원시결과'!X25)</x:f>
        <x:v>0.7101511148106762</x:v>
      </x:c>
      <x:c r="I21" s="6" t="n">
        <x:f>IF(F21="","",F21-INDEX(F$2:F$23,MATCH("B01",$A$2:$A$23,0)))</x:f>
        <x:v>-0.0020546882904007857</x:v>
      </x:c>
      <x:c r="J21" s="6" t="n">
        <x:f>IF(G21="","",G21-INDEX(G$2:G$23,MATCH("B01",$A$2:$A$23,0)))</x:f>
        <x:v>-0.004544983979890449</x:v>
      </x:c>
      <x:c r="K21" s="6" t="n">
        <x:f>IF(H21="","",H21-INDEX(H$2:H$23,MATCH("B01",$A$2:$A$23,0)))</x:f>
        <x:v>-0.0018559668945431484</x:v>
      </x:c>
      <x:c r="L21" s="4" t="n">
        <x:f>IF('원시결과'!Z25="","",'원시결과'!Z25)</x:f>
        <x:v>43.33256249810802</x:v>
      </x:c>
      <x:c r="M21" s="4" t="n">
        <x:f>IF('원시결과'!AA25="","",'원시결과'!AA25)</x:f>
        <x:v>45.66807684714149</x:v>
      </x:c>
      <x:c r="N21" s="4" t="n">
        <x:f>IF('원시결과'!AB25="","",'원시결과'!AB25)</x:f>
        <x:v>46.64238819001184</x:v>
      </x:c>
      <x:c r="O21" s="4" t="n">
        <x:f>IF('원시결과'!AH25="","",'원시결과'!AH25)</x:f>
        <x:v>22.97460803622283</x:v>
      </x:c>
      <x:c r="P21" s="7" t="n">
        <x:f>IF('원시결과'!AE25="","",'원시결과'!AE25)</x:f>
        <x:v>0.01058008836275545</x:v>
      </x:c>
      <x:c r="Q21" s="4" t="n">
        <x:f>IF('원시결과'!AF25="","",'원시결과'!AF25)</x:f>
        <x:v>42.15639998589338</x:v>
      </x:c>
      <x:c r="R21" s="4" t="n">
        <x:f>IF('원시결과'!AG25="","",'원시결과'!AG25)</x:f>
        <x:v>44.43234334849048</x:v>
      </x:c>
      <x:c r="S21" s="8" t="n">
        <x:f>IF('원시결과'!AI25="","",'원시결과'!AI25/1048576)</x:f>
        <x:v>897.943359375</x:v>
      </x:c>
      <x:c r="T21" s="8" t="n">
        <x:f>IF('원시결과'!AK25="","",'원시결과'!AK25/1048576)</x:f>
        <x:v>111.8322868347168</x:v>
      </x:c>
      <x:c r="U21" s="7" t="n">
        <x:f>IF(L21="","",(INDEX(L$2:L$23,MATCH("B01",$A$2:$A$23,0))-L21)/INDEX(L$2:L$23,MATCH("B01",$A$2:$A$23,0)))</x:f>
        <x:v>0.05429246062833751</x:v>
      </x:c>
      <x:c r="V21" s="4" t="n">
        <x:f>IF(L21="","",INDEX(L$2:L$23,MATCH("B01",$A$2:$A$23,0))/L21)</x:f>
        <x:v>1.0574093558188296</x:v>
      </x:c>
      <x:c r="W21" s="7" t="n">
        <x:f>IF(S21="","",(INDEX(S$2:S$23,MATCH("B01",$A$2:$A$23,0))-S21)/INDEX(S$2:S$23,MATCH("B01",$A$2:$A$23,0)))</x:f>
        <x:v>0</x:v>
      </x:c>
      <x:c r="X21" s="7" t="n">
        <x:f>IF(T21="","",(INDEX(T$2:T$23,MATCH("B01",$A$2:$A$23,0))-T21)/INDEX(T$2:T$23,MATCH("B01",$A$2:$A$23,0)))</x:f>
        <x:v>0.1353615828092104</x:v>
      </x:c>
      <x:c r="Y21" t="b">
        <x:v>1</x:v>
      </x:c>
      <x:c r="Z21" t="b">
        <x:f>AND(I21&gt;=-'평가기준'!$B$10,J21&gt;=-'평가기준'!$B$11,K21&gt;=-'평가기준'!$B$12)</x:f>
        <x:v>1</x:v>
      </x:c>
      <x:c r="AA21" t="b">
        <x:f>AND(Y21,Z21)</x:f>
        <x:v>1</x:v>
      </x:c>
      <x:c r="AB21" t="b">
        <x:v>0</x:v>
      </x:c>
      <x:c r="AC21" t="b">
        <x:f>P21&gt;'평가기준'!$B$9</x:f>
        <x:v>0</x:v>
      </x:c>
      <x:c r="AD21" t="b">
        <x:f>AND(Y21,M21&gt;'평가기준'!$B$14)</x:f>
        <x:v>1</x:v>
      </x:c>
      <x:c r="AE21" s="5"/>
      <x:c r="AF21" t="b">
        <x:f>AND(Y21,L21&lt;='평가기준'!$B$14)</x:f>
        <x:v>0</x:v>
      </x:c>
      <x:c r="AG21" t="b">
        <x:f>AND(AB21,AF21,NOT(AI21))</x:f>
        <x:v>0</x:v>
      </x:c>
      <x:c r="AH21" t="b">
        <x:v>0</x:v>
      </x:c>
      <x:c r="AI21" t="b">
        <x:v>0</x:v>
      </x:c>
    </x:row>
    <x:row r="22">
      <x:c r="A22" t="str">
        <x:f>'원시결과'!A26</x:f>
        <x:v>Q06</x:v>
      </x:c>
      <x:c r="B22" t="str">
        <x:f>'원시결과'!B26</x:f>
        <x:v>precision</x:v>
      </x:c>
      <x:c r="C22" t="str">
        <x:f>'원시결과'!C26</x:f>
        <x:v>modelopt-fp8-mixed-kld</x:v>
      </x:c>
      <x:c r="D22" t="str">
        <x:f>'원시결과'!D26</x:f>
        <x:v>mixed</x:v>
      </x:c>
      <x:c r="E22" t="str">
        <x:f>'원시결과'!H26</x:f>
        <x:v>완료</x:v>
      </x:c>
      <x:c r="F22" s="3" t="n">
        <x:f>IF('원시결과'!J26="","",'원시결과'!J26)</x:f>
        <x:v>0.004075750906385281</x:v>
      </x:c>
      <x:c r="G22" s="3" t="n">
        <x:f>IF('원시결과'!Q26="","",'원시결과'!Q26)</x:f>
        <x:v>0.3540556583177658</x:v>
      </x:c>
      <x:c r="H22" s="3" t="n">
        <x:f>IF('원시결과'!X26="","",'원시결과'!X26)</x:f>
        <x:v>0.4565858431052821</x:v>
      </x:c>
      <x:c r="I22" s="6" t="n">
        <x:f>IF(F22="","",F22-INDEX(F$2:F$23,MATCH("B01",$A$2:$A$23,0)))</x:f>
        <x:v>-0.7337831762593833</x:v>
      </x:c>
      <x:c r="J22" s="6" t="n">
        <x:f>IF(G22="","",G22-INDEX(G$2:G$23,MATCH("B01",$A$2:$A$23,0)))</x:f>
        <x:v>-0.2485870375673847</x:v>
      </x:c>
      <x:c r="K22" s="6" t="n">
        <x:f>IF(H22="","",H22-INDEX(H$2:H$23,MATCH("B01",$A$2:$A$23,0)))</x:f>
        <x:v>-0.2554212385999372</x:v>
      </x:c>
      <x:c r="L22" s="4" t="n">
        <x:f>IF('원시결과'!Z26="","",'원시결과'!Z26)</x:f>
        <x:v>39.40890300145838</x:v>
      </x:c>
      <x:c r="M22" s="4" t="n">
        <x:f>IF('원시결과'!AA26="","",'원시결과'!AA26)</x:f>
        <x:v>41.52923119909246</x:v>
      </x:c>
      <x:c r="N22" s="4" t="n">
        <x:f>IF('원시결과'!AB26="","",'원시결과'!AB26)</x:f>
        <x:v>43.24338190665002</x:v>
      </x:c>
      <x:c r="O22" s="4" t="n">
        <x:f>IF('원시결과'!AH26="","",'원시결과'!AH26)</x:f>
        <x:v>25.22250732446458</x:v>
      </x:c>
      <x:c r="P22" s="7" t="n">
        <x:f>IF('원시결과'!AE26="","",'원시결과'!AE26)</x:f>
        <x:v>0.00231009321868161</x:v>
      </x:c>
      <x:c r="Q22" s="4" t="n">
        <x:f>IF('원시결과'!AF26="","",'원시결과'!AF26)</x:f>
        <x:v>39.19226420887004</x:v>
      </x:c>
      <x:c r="R22" s="4" t="n">
        <x:f>IF('원시결과'!AG26="","",'원시결과'!AG26)</x:f>
        <x:v>39.64471379199032</x:v>
      </x:c>
      <x:c r="S22" s="8" t="n">
        <x:f>IF('원시결과'!AI26="","",'원시결과'!AI26/1048576)</x:f>
        <x:v>897.943359375</x:v>
      </x:c>
      <x:c r="T22" s="8" t="n">
        <x:f>IF('원시결과'!AK26="","",'원시결과'!AK26/1048576)</x:f>
        <x:v>64.76676559448242</x:v>
      </x:c>
      <x:c r="U22" s="7" t="n">
        <x:f>IF(L22="","",(INDEX(L$2:L$23,MATCH("B01",$A$2:$A$23,0))-L22)/INDEX(L$2:L$23,MATCH("B01",$A$2:$A$23,0)))</x:f>
        <x:v>0.1399240077603771</x:v>
      </x:c>
      <x:c r="V22" s="4" t="n">
        <x:f>IF(L22="","",INDEX(L$2:L$23,MATCH("B01",$A$2:$A$23,0))/L22)</x:f>
        <x:v>1.1626879589976897</x:v>
      </x:c>
      <x:c r="W22" s="7" t="n">
        <x:f>IF(S22="","",(INDEX(S$2:S$23,MATCH("B01",$A$2:$A$23,0))-S22)/INDEX(S$2:S$23,MATCH("B01",$A$2:$A$23,0)))</x:f>
        <x:v>0</x:v>
      </x:c>
      <x:c r="X22" s="7" t="n">
        <x:f>IF(T22="","",(INDEX(T$2:T$23,MATCH("B01",$A$2:$A$23,0))-T22)/INDEX(T$2:T$23,MATCH("B01",$A$2:$A$23,0)))</x:f>
        <x:v>0.4992516448049975</x:v>
      </x:c>
      <x:c r="Y22" t="b">
        <x:v>1</x:v>
      </x:c>
      <x:c r="Z22" t="b">
        <x:f>AND(I22&gt;=-'평가기준'!$B$10,J22&gt;=-'평가기준'!$B$11,K22&gt;=-'평가기준'!$B$12)</x:f>
        <x:v>0</x:v>
      </x:c>
      <x:c r="AA22" t="b">
        <x:f>AND(Y22,Z22)</x:f>
        <x:v>0</x:v>
      </x:c>
      <x:c r="AB22" t="b">
        <x:v>0</x:v>
      </x:c>
      <x:c r="AC22" t="b">
        <x:f>P22&gt;'평가기준'!$B$9</x:f>
        <x:v>0</x:v>
      </x:c>
      <x:c r="AD22" t="b">
        <x:f>AND(Y22,M22&gt;'평가기준'!$B$14)</x:f>
        <x:v>1</x:v>
      </x:c>
      <x:c r="AE22" s="5" t="s">
        <x:v>302</x:v>
      </x:c>
      <x:c r="AF22" t="b">
        <x:f>AND(Y22,L22&lt;='평가기준'!$B$14)</x:f>
        <x:v>0</x:v>
      </x:c>
      <x:c r="AG22" t="b">
        <x:f>AND(AB22,AF22,NOT(AI22))</x:f>
        <x:v>0</x:v>
      </x:c>
      <x:c r="AH22" t="b">
        <x:v>0</x:v>
      </x:c>
      <x:c r="AI22" t="b">
        <x:v>0</x:v>
      </x:c>
    </x:row>
    <x:row r="23">
      <x:c r="A23" t="str">
        <x:f>'원시결과'!A27</x:f>
        <x:v>Q07</x:v>
      </x:c>
      <x:c r="B23" t="str">
        <x:f>'원시결과'!B27</x:f>
        <x:v>precision</x:v>
      </x:c>
      <x:c r="C23" t="str">
        <x:f>'원시결과'!C27</x:f>
        <x:v>modelopt-fp8-mixed</x:v>
      </x:c>
      <x:c r="D23" t="str">
        <x:f>'원시결과'!D27</x:f>
        <x:v>mixed</x:v>
      </x:c>
      <x:c r="E23" t="str">
        <x:f>'원시결과'!H27</x:f>
        <x:v>완료</x:v>
      </x:c>
      <x:c r="F23" s="3" t="n">
        <x:f>IF('원시결과'!J27="","",'원시결과'!J27)</x:f>
        <x:v>0.02816209624061215</x:v>
      </x:c>
      <x:c r="G23" s="3" t="n">
        <x:f>IF('원시결과'!Q27="","",'원시결과'!Q27)</x:f>
        <x:v>0.3579247452931818</x:v>
      </x:c>
      <x:c r="H23" s="3" t="n">
        <x:f>IF('원시결과'!X27="","",'원시결과'!X27)</x:f>
        <x:v>0.4289259857653336</x:v>
      </x:c>
      <x:c r="I23" s="6" t="n">
        <x:f>IF(F23="","",F23-INDEX(F$2:F$23,MATCH("B01",$A$2:$A$23,0)))</x:f>
        <x:v>-0.7096968309251563</x:v>
      </x:c>
      <x:c r="J23" s="6" t="n">
        <x:f>IF(G23="","",G23-INDEX(G$2:G$23,MATCH("B01",$A$2:$A$23,0)))</x:f>
        <x:v>-0.2447179505919687</x:v>
      </x:c>
      <x:c r="K23" s="6" t="n">
        <x:f>IF(H23="","",H23-INDEX(H$2:H$23,MATCH("B01",$A$2:$A$23,0)))</x:f>
        <x:v>-0.28308109593988573</x:v>
      </x:c>
      <x:c r="L23" s="4" t="n">
        <x:f>IF('원시결과'!Z27="","",'원시결과'!Z27)</x:f>
        <x:v>38.29855150252115</x:v>
      </x:c>
      <x:c r="M23" s="4" t="n">
        <x:f>IF('원시결과'!AA27="","",'원시결과'!AA27)</x:f>
        <x:v>40.82614890357945</x:v>
      </x:c>
      <x:c r="N23" s="4" t="n">
        <x:f>IF('원시결과'!AB27="","",'원시결과'!AB27)</x:f>
        <x:v>41.82187388847524</x:v>
      </x:c>
      <x:c r="O23" s="4" t="n">
        <x:f>IF('원시결과'!AH27="","",'원시결과'!AH27)</x:f>
        <x:v>25.90828595063213</x:v>
      </x:c>
      <x:c r="P23" s="7" t="n">
        <x:f>IF('원시결과'!AE27="","",'원시결과'!AE27)</x:f>
        <x:v>0.008880378632809048</x:v>
      </x:c>
      <x:c r="Q23" s="4" t="n">
        <x:f>IF('원시결과'!AF27="","",'원시결과'!AF27)</x:f>
        <x:v>37.53411956583137</x:v>
      </x:c>
      <x:c r="R23" s="4" t="n">
        <x:f>IF('원시결과'!AG27="","",'원시결과'!AG27)</x:f>
        <x:v>39.22762676941942</x:v>
      </x:c>
      <x:c r="S23" s="8" t="n">
        <x:f>IF('원시결과'!AI27="","",'원시결과'!AI27/1048576)</x:f>
        <x:v>897.943359375</x:v>
      </x:c>
      <x:c r="T23" s="8" t="n">
        <x:f>IF('원시결과'!AK27="","",'원시결과'!AK27/1048576)</x:f>
        <x:v>52.98740005493164</x:v>
      </x:c>
      <x:c r="U23" s="7" t="n">
        <x:f>IF(L23="","",(INDEX(L$2:L$23,MATCH("B01",$A$2:$A$23,0))-L23)/INDEX(L$2:L$23,MATCH("B01",$A$2:$A$23,0)))</x:f>
        <x:v>0.16415677229959424</x:v>
      </x:c>
      <x:c r="V23" s="4" t="n">
        <x:f>IF(L23="","",INDEX(L$2:L$23,MATCH("B01",$A$2:$A$23,0))/L23)</x:f>
        <x:v>1.1963966050801498</x:v>
      </x:c>
      <x:c r="W23" s="7" t="n">
        <x:f>IF(S23="","",(INDEX(S$2:S$23,MATCH("B01",$A$2:$A$23,0))-S23)/INDEX(S$2:S$23,MATCH("B01",$A$2:$A$23,0)))</x:f>
        <x:v>0</x:v>
      </x:c>
      <x:c r="X23" s="7" t="n">
        <x:f>IF(T23="","",(INDEX(T$2:T$23,MATCH("B01",$A$2:$A$23,0))-T23)/INDEX(T$2:T$23,MATCH("B01",$A$2:$A$23,0)))</x:f>
        <x:v>0.5903245564291847</x:v>
      </x:c>
      <x:c r="Y23" t="b">
        <x:v>1</x:v>
      </x:c>
      <x:c r="Z23" t="b">
        <x:f>AND(I23&gt;=-'평가기준'!$B$10,J23&gt;=-'평가기준'!$B$11,K23&gt;=-'평가기준'!$B$12)</x:f>
        <x:v>0</x:v>
      </x:c>
      <x:c r="AA23" t="b">
        <x:f>AND(Y23,Z23)</x:f>
        <x:v>0</x:v>
      </x:c>
      <x:c r="AB23" t="b">
        <x:v>0</x:v>
      </x:c>
      <x:c r="AC23" t="b">
        <x:f>P23&gt;'평가기준'!$B$9</x:f>
        <x:v>0</x:v>
      </x:c>
      <x:c r="AD23" t="b">
        <x:f>AND(Y23,M23&gt;'평가기준'!$B$14)</x:f>
        <x:v>1</x:v>
      </x:c>
      <x:c r="AE23" s="5" t="s">
        <x:v>302</x:v>
      </x:c>
      <x:c r="AF23" t="b">
        <x:f>AND(Y23,L23&lt;='평가기준'!$B$14)</x:f>
        <x:v>0</x:v>
      </x:c>
      <x:c r="AG23" t="b">
        <x:f>AND(AB23,AF23,NOT(AI23))</x:f>
        <x:v>0</x:v>
      </x:c>
      <x:c r="AH23" t="b">
        <x:v>0</x:v>
      </x:c>
      <x:c r="AI23" t="b">
        <x:v>0</x:v>
      </x:c>
    </x:row>
  </x:sheetData>
  <x:conditionalFormatting sqref="AA2:AA23">
    <x:cfRule type="cellIs" dxfId="2" priority="5" operator="equal">
      <x:formula>TRUE</x:formula>
    </x:cfRule>
  </x:conditionalFormatting>
  <x:conditionalFormatting sqref="AB2:AB23">
    <x:cfRule type="cellIs" dxfId="2" priority="6" operator="equal">
      <x:formula>TRUE</x:formula>
    </x:cfRule>
  </x:conditionalFormatting>
  <x:conditionalFormatting sqref="AC2:AC23">
    <x:cfRule type="cellIs" dxfId="3" priority="9" operator="equal">
      <x:formula>TRUE</x:formula>
    </x:cfRule>
  </x:conditionalFormatting>
  <x:conditionalFormatting sqref="AD2:AD23">
    <x:cfRule type="cellIs" dxfId="3" priority="10" operator="equal">
      <x:formula>TRUE</x:formula>
    </x:cfRule>
  </x:conditionalFormatting>
  <x:conditionalFormatting sqref="AF2:AF23">
    <x:cfRule type="cellIs" dxfId="2" priority="7" operator="equal">
      <x:formula>TRUE</x:formula>
    </x:cfRule>
  </x:conditionalFormatting>
  <x:conditionalFormatting sqref="AG2:AG23">
    <x:cfRule type="cellIs" dxfId="2" priority="8" operator="equal">
      <x:formula>TRUE</x:formula>
    </x:cfRule>
  </x:conditionalFormatting>
  <x:conditionalFormatting sqref="AH2:AH23">
    <x:cfRule type="cellIs" dxfId="3" priority="11" operator="equal">
      <x:formula>TRUE</x:formula>
    </x:cfRule>
  </x:conditionalFormatting>
  <x:conditionalFormatting sqref="AI2:AI23">
    <x:cfRule type="cellIs" dxfId="1" priority="12" operator="equal">
      <x:formula>TRUE</x:formula>
    </x:cfRule>
  </x:conditionalFormatting>
  <x:conditionalFormatting sqref="E2:E23">
    <x:cfRule type="containsText" dxfId="0" priority="1" operator="containsText" text="완료">
      <x:formula>NOT(ISERROR(SEARCH("완료",E2)))</x:formula>
    </x:cfRule>
    <x:cfRule type="containsText" dxfId="1" priority="2" operator="containsText" text="실패">
      <x:formula>NOT(ISERROR(SEARCH("실패",E2)))</x:formula>
    </x:cfRule>
  </x:conditionalFormatting>
  <x:conditionalFormatting sqref="Y2:Y23">
    <x:cfRule type="cellIs" dxfId="2" priority="3" operator="equal">
      <x:formula>TRUE</x:formula>
    </x:cfRule>
  </x:conditionalFormatting>
  <x:conditionalFormatting sqref="Z2:Z23">
    <x:cfRule type="cellIs" dxfId="2" priority="4" operator="equal">
      <x:formula>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bb4b87594fb46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3" width="18.7109375" customWidth="1"/>
    <x:col min="4" max="5" width="64.7109375" style="5" customWidth="1"/>
  </x:cols>
  <x:sheetData>
    <x:row r="1" s="1" customFormat="1" ht="36" customHeight="1">
      <x:c r="A1" s="1" t="s">
        <x:v>60</x:v>
      </x:c>
      <x:c r="B1" s="1" t="s">
        <x:v>303</x:v>
      </x:c>
      <x:c r="C1" s="1" t="s">
        <x:v>304</x:v>
      </x:c>
      <x:c r="D1" s="1" t="s">
        <x:v>305</x:v>
      </x:c>
      <x:c r="E1" s="1" t="s">
        <x:v>306</x:v>
      </x:c>
    </x:row>
    <x:row r="2">
      <x:c r="A2" t="s">
        <x:v>139</x:v>
      </x:c>
      <x:c r="B2" t="s">
        <x:v>307</x:v>
      </x:c>
      <x:c r="C2" t="s">
        <x:v>142</x:v>
      </x:c>
      <x:c r="D2" s="5" t="s">
        <x:v>143</x:v>
      </x:c>
      <x:c r="E2" s="5" t="s">
        <x:v>308</x:v>
      </x:c>
    </x:row>
    <x:row r="3">
      <x:c r="A3" t="s">
        <x:v>144</x:v>
      </x:c>
      <x:c r="B3" t="s">
        <x:v>307</x:v>
      </x:c>
      <x:c r="C3" t="s">
        <x:v>142</x:v>
      </x:c>
      <x:c r="D3" s="5" t="s">
        <x:v>143</x:v>
      </x:c>
      <x:c r="E3" s="5" t="s">
        <x:v>308</x:v>
      </x:c>
    </x:row>
    <x:row r="4">
      <x:c r="A4" t="s">
        <x:v>145</x:v>
      </x:c>
      <x:c r="B4" t="s">
        <x:v>307</x:v>
      </x:c>
      <x:c r="C4" t="s">
        <x:v>142</x:v>
      </x:c>
      <x:c r="D4" s="5" t="s">
        <x:v>143</x:v>
      </x:c>
      <x:c r="E4" s="5" t="s">
        <x:v>308</x:v>
      </x:c>
    </x:row>
    <x:row r="5">
      <x:c r="A5" t="s">
        <x:v>174</x:v>
      </x:c>
      <x:c r="B5" t="s">
        <x:v>307</x:v>
      </x:c>
      <x:c r="C5" t="s">
        <x:v>142</x:v>
      </x:c>
      <x:c r="D5" s="5" t="s">
        <x:v>143</x:v>
      </x:c>
      <x:c r="E5" s="5" t="s">
        <x:v>308</x:v>
      </x:c>
    </x:row>
    <x:row r="6">
      <x:c r="A6" t="s">
        <x:v>247</x:v>
      </x:c>
      <x:c r="B6" t="s">
        <x:v>309</x:v>
      </x:c>
      <x:c r="C6" t="s">
        <x:v>250</x:v>
      </x:c>
      <x:c r="D6" s="5" t="s">
        <x:v>251</x:v>
      </x:c>
      <x:c r="E6" s="5" t="s">
        <x:v>310</x:v>
      </x:c>
    </x:row>
    <x:row r="7">
      <x:c r="A7" t="s">
        <x:v>109</x:v>
      </x:c>
      <x:c r="B7" t="s">
        <x:v>311</x:v>
      </x:c>
      <x:c r="C7" t="s">
        <x:v>312</x:v>
      </x:c>
      <x:c r="D7" s="5" t="s">
        <x:v>313</x:v>
      </x:c>
      <x:c r="E7" s="5" t="s">
        <x:v>314</x:v>
      </x:c>
    </x:row>
    <x:row r="8">
      <x:c r="A8" t="s">
        <x:v>146</x:v>
      </x:c>
      <x:c r="B8" t="s">
        <x:v>315</x:v>
      </x:c>
      <x:c r="C8" t="s">
        <x:v>316</x:v>
      </x:c>
      <x:c r="D8" s="5" t="s">
        <x:v>302</x:v>
      </x:c>
      <x:c r="E8" s="5" t="s">
        <x:v>317</x:v>
      </x:c>
    </x:row>
    <x:row r="9">
      <x:c r="A9" t="s">
        <x:v>154</x:v>
      </x:c>
      <x:c r="B9" t="s">
        <x:v>315</x:v>
      </x:c>
      <x:c r="C9" t="s">
        <x:v>316</x:v>
      </x:c>
      <x:c r="D9" s="5" t="s">
        <x:v>302</x:v>
      </x:c>
      <x:c r="E9" s="5" t="s">
        <x:v>317</x:v>
      </x:c>
    </x:row>
    <x:row r="10">
      <x:c r="A10" t="s">
        <x:v>160</x:v>
      </x:c>
      <x:c r="B10" t="s">
        <x:v>311</x:v>
      </x:c>
      <x:c r="C10" t="s">
        <x:v>312</x:v>
      </x:c>
      <x:c r="D10" s="5" t="s">
        <x:v>313</x:v>
      </x:c>
      <x:c r="E10" s="5" t="s">
        <x:v>314</x:v>
      </x:c>
    </x:row>
    <x:row r="11">
      <x:c r="A11" t="s">
        <x:v>168</x:v>
      </x:c>
      <x:c r="B11" t="s">
        <x:v>315</x:v>
      </x:c>
      <x:c r="C11" t="s">
        <x:v>316</x:v>
      </x:c>
      <x:c r="D11" s="5" t="s">
        <x:v>302</x:v>
      </x:c>
      <x:c r="E11" s="5" t="s">
        <x:v>317</x:v>
      </x:c>
    </x:row>
    <x:row r="12">
      <x:c r="A12" t="s">
        <x:v>176</x:v>
      </x:c>
      <x:c r="B12" t="s">
        <x:v>315</x:v>
      </x:c>
      <x:c r="C12" t="s">
        <x:v>316</x:v>
      </x:c>
      <x:c r="D12" s="5" t="s">
        <x:v>302</x:v>
      </x:c>
      <x:c r="E12" s="5" t="s">
        <x:v>317</x:v>
      </x:c>
    </x:row>
    <x:row r="13">
      <x:c r="A13" t="s">
        <x:v>196</x:v>
      </x:c>
      <x:c r="B13" t="s">
        <x:v>311</x:v>
      </x:c>
      <x:c r="C13" t="s">
        <x:v>312</x:v>
      </x:c>
      <x:c r="D13" s="5" t="s">
        <x:v>313</x:v>
      </x:c>
      <x:c r="E13" s="5" t="s">
        <x:v>314</x:v>
      </x:c>
    </x:row>
    <x:row r="14">
      <x:c r="A14" t="s">
        <x:v>204</x:v>
      </x:c>
      <x:c r="B14" t="s">
        <x:v>311</x:v>
      </x:c>
      <x:c r="C14" t="s">
        <x:v>312</x:v>
      </x:c>
      <x:c r="D14" s="5" t="s">
        <x:v>313</x:v>
      </x:c>
      <x:c r="E14" s="5" t="s">
        <x:v>314</x:v>
      </x:c>
    </x:row>
    <x:row r="15">
      <x:c r="A15" t="s">
        <x:v>219</x:v>
      </x:c>
      <x:c r="B15" t="s">
        <x:v>311</x:v>
      </x:c>
      <x:c r="C15" t="s">
        <x:v>312</x:v>
      </x:c>
      <x:c r="D15" s="5" t="s">
        <x:v>313</x:v>
      </x:c>
      <x:c r="E15" s="5" t="s">
        <x:v>314</x:v>
      </x:c>
    </x:row>
    <x:row r="16">
      <x:c r="A16" t="s">
        <x:v>225</x:v>
      </x:c>
      <x:c r="B16" t="s">
        <x:v>315</x:v>
      </x:c>
      <x:c r="C16" t="s">
        <x:v>316</x:v>
      </x:c>
      <x:c r="D16" s="5" t="s">
        <x:v>302</x:v>
      </x:c>
      <x:c r="E16" s="5" t="s">
        <x:v>317</x:v>
      </x:c>
    </x:row>
    <x:row r="17">
      <x:c r="A17" t="s">
        <x:v>232</x:v>
      </x:c>
      <x:c r="B17" t="s">
        <x:v>315</x:v>
      </x:c>
      <x:c r="C17" t="s">
        <x:v>316</x:v>
      </x:c>
      <x:c r="D17" s="5" t="s">
        <x:v>302</x:v>
      </x:c>
      <x:c r="E17" s="5" t="s">
        <x:v>317</x:v>
      </x:c>
    </x:row>
    <x:row r="18">
      <x:c r="A18" t="s">
        <x:v>239</x:v>
      </x:c>
      <x:c r="B18" t="s">
        <x:v>315</x:v>
      </x:c>
      <x:c r="C18" t="s">
        <x:v>316</x:v>
      </x:c>
      <x:c r="D18" s="5" t="s">
        <x:v>302</x:v>
      </x:c>
      <x:c r="E18" s="5" t="s">
        <x:v>317</x:v>
      </x:c>
    </x:row>
    <x:row r="19">
      <x:c r="A19" t="s">
        <x:v>252</x:v>
      </x:c>
      <x:c r="B19" t="s">
        <x:v>315</x:v>
      </x:c>
      <x:c r="C19" t="s">
        <x:v>316</x:v>
      </x:c>
      <x:c r="D19" s="5" t="s">
        <x:v>302</x:v>
      </x:c>
      <x:c r="E19" s="5" t="s">
        <x:v>317</x:v>
      </x:c>
    </x:row>
    <x:row r="20">
      <x:c r="A20" t="s">
        <x:v>260</x:v>
      </x:c>
      <x:c r="B20" t="s">
        <x:v>311</x:v>
      </x:c>
      <x:c r="C20" t="s">
        <x:v>312</x:v>
      </x:c>
      <x:c r="D20" s="5" t="s">
        <x:v>313</x:v>
      </x:c>
      <x:c r="E20" s="5" t="s">
        <x:v>314</x:v>
      </x:c>
    </x:row>
    <x:row r="21">
      <x:c r="A21" t="s">
        <x:v>267</x:v>
      </x:c>
      <x:c r="B21" t="s">
        <x:v>315</x:v>
      </x:c>
      <x:c r="C21" t="s">
        <x:v>316</x:v>
      </x:c>
      <x:c r="D21" s="5" t="s">
        <x:v>302</x:v>
      </x:c>
      <x:c r="E21" s="5" t="s">
        <x:v>317</x:v>
      </x:c>
    </x:row>
    <x:row r="22">
      <x:c r="A22" t="s">
        <x:v>274</x:v>
      </x:c>
      <x:c r="B22" t="s">
        <x:v>315</x:v>
      </x:c>
      <x:c r="C22" t="s">
        <x:v>316</x:v>
      </x:c>
      <x:c r="D22" s="5" t="s">
        <x:v>302</x:v>
      </x:c>
      <x:c r="E22" s="5" t="s">
        <x:v>317</x:v>
      </x:c>
    </x:row>
  </x:sheetData>
  <x:pageMargins left="0.7" right="0.7" top="0.75" bottom="0.75" header="0.3" footer="0.3"/>
  <x:tableParts count="1">
    <x:tablePart xmlns:r="http://schemas.openxmlformats.org/officeDocument/2006/relationships" r:id="Ra7ce787a81404a6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3" width="16.7109375" customWidth="1"/>
    <x:col min="4" max="12" width="14.7109375" style="3" customWidth="1"/>
  </x:cols>
  <x:sheetData>
    <x:row r="1" s="1" customFormat="1" ht="36" customHeight="1">
      <x:c r="A1" s="1" t="s">
        <x:v>60</x:v>
      </x:c>
      <x:c r="B1" s="1" t="s">
        <x:v>318</x:v>
      </x:c>
      <x:c r="C1" s="1" t="s">
        <x:v>319</x:v>
      </x:c>
      <x:c r="D1" s="1" t="s">
        <x:v>69</x:v>
      </x:c>
      <x:c r="E1" s="1" t="s">
        <x:v>70</x:v>
      </x:c>
      <x:c r="F1" s="1" t="s">
        <x:v>71</x:v>
      </x:c>
      <x:c r="G1" s="1" t="s">
        <x:v>75</x:v>
      </x:c>
      <x:c r="H1" s="1" t="s">
        <x:v>36</x:v>
      </x:c>
      <x:c r="I1" s="1" t="s">
        <x:v>76</x:v>
      </x:c>
      <x:c r="J1" s="1" t="s">
        <x:v>77</x:v>
      </x:c>
      <x:c r="K1" s="1" t="s">
        <x:v>81</x:v>
      </x:c>
      <x:c r="L1" s="1" t="s">
        <x:v>320</x:v>
      </x:c>
    </x:row>
    <x:row r="2">
      <x:c r="A2" t="s">
        <x:v>109</x:v>
      </x:c>
      <x:c r="B2">
        <x:v>0</x:v>
      </x:c>
      <x:c r="C2" t="s">
        <x:v>321</x:v>
      </x:c>
    </x:row>
    <x:row r="3">
      <x:c r="A3" t="s">
        <x:v>109</x:v>
      </x:c>
      <x:c r="B3">
        <x:v>1</x:v>
      </x:c>
      <x:c r="C3" t="s">
        <x:v>322</x:v>
      </x:c>
      <x:c r="D3" s="3">
        <x:v>0.5061162970151106</x:v>
      </x:c>
      <x:c r="E3" s="3">
        <x:v>0.8315517397772624</x:v>
      </x:c>
      <x:c r="F3" s="3">
        <x:v>0.5103551172075326</x:v>
      </x:c>
      <x:c r="G3" s="3">
        <x:v>0.7836575875486381</x:v>
      </x:c>
      <x:c r="H3" s="3">
        <x:v>0.2039770501736571</x:v>
      </x:c>
      <x:c r="I3" s="3">
        <x:v>0.5682435606369498</x:v>
      </x:c>
      <x:c r="J3" s="3">
        <x:v>0.1092618820399215</x:v>
      </x:c>
      <x:c r="K3" s="3">
        <x:v>0.4494163424124514</x:v>
      </x:c>
      <x:c r="L3" s="3">
        <x:v>0.4589428216949776</x:v>
      </x:c>
    </x:row>
    <x:row r="4">
      <x:c r="A4" t="s">
        <x:v>109</x:v>
      </x:c>
      <x:c r="B4">
        <x:v>2</x:v>
      </x:c>
      <x:c r="C4" t="s">
        <x:v>323</x:v>
      </x:c>
      <x:c r="D4" s="3">
        <x:v>0.8489291208947134</x:v>
      </x:c>
      <x:c r="E4" s="3">
        <x:v>0.9563027547541514</x:v>
      </x:c>
      <x:c r="F4" s="3">
        <x:v>0.8974323916104113</x:v>
      </x:c>
      <x:c r="G4" s="3">
        <x:v>0.9463276836158194</x:v>
      </x:c>
      <x:c r="H4" s="3">
        <x:v>0.8085574179460446</x:v>
      </x:c>
      <x:c r="I4" s="3">
        <x:v>0.958061142997791</x:v>
      </x:c>
      <x:c r="J4" s="3">
        <x:v>0.8897651733618007</x:v>
      </x:c>
      <x:c r="K4" s="3">
        <x:v>0.8898305084745763</x:v>
      </x:c>
      <x:c r="L4" s="3">
        <x:v>0.7920429117509471</x:v>
      </x:c>
    </x:row>
    <x:row r="5">
      <x:c r="A5" t="s">
        <x:v>109</x:v>
      </x:c>
      <x:c r="B5">
        <x:v>3</x:v>
      </x:c>
      <x:c r="C5" t="s">
        <x:v>324</x:v>
      </x:c>
      <x:c r="D5" s="3">
        <x:v>0.8585313635874814</x:v>
      </x:c>
      <x:c r="E5" s="3">
        <x:v>0.9927673733546509</x:v>
      </x:c>
      <x:c r="F5" s="3">
        <x:v>0.9686473231153971</x:v>
      </x:c>
      <x:c r="G5" s="3">
        <x:v>0.9081761006289308</x:v>
      </x:c>
      <x:c r="H5" s="3">
        <x:v>0.7953936195357496</x:v>
      </x:c>
      <x:c r="I5" s="3">
        <x:v>0.9934606356633375</x:v>
      </x:c>
      <x:c r="J5" s="3">
        <x:v>0.9474085995950957</x:v>
      </x:c>
      <x:c r="K5" s="3">
        <x:v>0.8496855345911948</x:v>
      </x:c>
      <x:c r="L5" s="3">
        <x:v>0.8850355116697332</x:v>
      </x:c>
    </x:row>
    <x:row r="6">
      <x:c r="A6" t="s">
        <x:v>122</x:v>
      </x:c>
      <x:c r="B6">
        <x:v>0</x:v>
      </x:c>
      <x:c r="C6" t="s">
        <x:v>321</x:v>
      </x:c>
    </x:row>
    <x:row r="7">
      <x:c r="A7" t="s">
        <x:v>122</x:v>
      </x:c>
      <x:c r="B7">
        <x:v>1</x:v>
      </x:c>
      <x:c r="C7" t="s">
        <x:v>322</x:v>
      </x:c>
      <x:c r="D7" s="3">
        <x:v>0.503610535692343</x:v>
      </x:c>
      <x:c r="E7" s="3">
        <x:v>0.8348929561076694</x:v>
      </x:c>
      <x:c r="F7" s="3">
        <x:v>0.5042113953011303</x:v>
      </x:c>
      <x:c r="G7" s="3">
        <x:v>0.7805447470817121</x:v>
      </x:c>
      <x:c r="H7" s="3">
        <x:v>0.201775016459277</x:v>
      </x:c>
      <x:c r="I7" s="3">
        <x:v>0.5612680259754494</x:v>
      </x:c>
      <x:c r="J7" s="3">
        <x:v>0.1085070367234755</x:v>
      </x:c>
      <x:c r="K7" s="3">
        <x:v>0.4494163424124514</x:v>
      </x:c>
      <x:c r="L7" s="3">
        <x:v>0.4602484662845909</x:v>
      </x:c>
    </x:row>
    <x:row r="8">
      <x:c r="A8" t="s">
        <x:v>122</x:v>
      </x:c>
      <x:c r="B8">
        <x:v>2</x:v>
      </x:c>
      <x:c r="C8" t="s">
        <x:v>323</x:v>
      </x:c>
      <x:c r="D8" s="3">
        <x:v>0.8548144908110651</x:v>
      </x:c>
      <x:c r="E8" s="3">
        <x:v>0.9544440227489047</x:v>
      </x:c>
      <x:c r="F8" s="3">
        <x:v>0.9023533897855874</x:v>
      </x:c>
      <x:c r="G8" s="3">
        <x:v>0.9480225988700566</x:v>
      </x:c>
      <x:c r="H8" s="3">
        <x:v>0.8103648571988015</x:v>
      </x:c>
      <x:c r="I8" s="3">
        <x:v>0.9572324217211702</x:v>
      </x:c>
      <x:c r="J8" s="3">
        <x:v>0.8981836159333403</x:v>
      </x:c>
      <x:c r="K8" s="3">
        <x:v>0.8898305084745765</x:v>
      </x:c>
      <x:c r="L8" s="3">
        <x:v>0.795325883512951</x:v>
      </x:c>
    </x:row>
    <x:row r="9">
      <x:c r="A9" t="s">
        <x:v>122</x:v>
      </x:c>
      <x:c r="B9">
        <x:v>3</x:v>
      </x:c>
      <x:c r="C9" t="s">
        <x:v>324</x:v>
      </x:c>
      <x:c r="D9" s="3">
        <x:v>0.8662339988183981</x:v>
      </x:c>
      <x:c r="E9" s="3">
        <x:v>0.9931783867754401</x:v>
      </x:c>
      <x:c r="F9" s="3">
        <x:v>0.9726950978006053</x:v>
      </x:c>
      <x:c r="G9" s="3">
        <x:v>0.9125786163522014</x:v>
      </x:c>
      <x:c r="H9" s="3">
        <x:v>0.7930251899750027</x:v>
      </x:c>
      <x:c r="I9" s="3">
        <x:v>0.993981826375986</x:v>
      </x:c>
      <x:c r="J9" s="3">
        <x:v>0.93969027877734</x:v>
      </x:c>
      <x:c r="K9" s="3">
        <x:v>0.8528301886792453</x:v>
      </x:c>
      <x:c r="L9" s="3">
        <x:v>0.8859683901199269</x:v>
      </x:c>
    </x:row>
    <x:row r="10">
      <x:c r="A10" t="s">
        <x:v>131</x:v>
      </x:c>
      <x:c r="B10">
        <x:v>0</x:v>
      </x:c>
      <x:c r="C10" t="s">
        <x:v>321</x:v>
      </x:c>
    </x:row>
    <x:row r="11">
      <x:c r="A11" t="s">
        <x:v>131</x:v>
      </x:c>
      <x:c r="B11">
        <x:v>1</x:v>
      </x:c>
      <x:c r="C11" t="s">
        <x:v>322</x:v>
      </x:c>
      <x:c r="D11" s="3">
        <x:v>0.5063263172750433</x:v>
      </x:c>
      <x:c r="E11" s="3">
        <x:v>0.8379727911460889</x:v>
      </x:c>
      <x:c r="F11" s="3">
        <x:v>0.5085724487015235</x:v>
      </x:c>
      <x:c r="G11" s="3">
        <x:v>0.7778210116731518</x:v>
      </x:c>
      <x:c r="H11" s="3">
        <x:v>0.2022801614028759</x:v>
      </x:c>
      <x:c r="I11" s="3">
        <x:v>0.5682495367281942</x:v>
      </x:c>
      <x:c r="J11" s="3">
        <x:v>0.1096161283160137</x:v>
      </x:c>
      <x:c r="K11" s="3">
        <x:v>0.4478599221789883</x:v>
      </x:c>
      <x:c r="L11" s="3">
        <x:v>0.459529602950549</x:v>
      </x:c>
    </x:row>
    <x:row r="12">
      <x:c r="A12" t="s">
        <x:v>131</x:v>
      </x:c>
      <x:c r="B12">
        <x:v>2</x:v>
      </x:c>
      <x:c r="C12" t="s">
        <x:v>323</x:v>
      </x:c>
      <x:c r="D12" s="3">
        <x:v>0.8550464877760475</x:v>
      </x:c>
      <x:c r="E12" s="3">
        <x:v>0.9537497343770251</x:v>
      </x:c>
      <x:c r="F12" s="3">
        <x:v>0.9033567390535595</x:v>
      </x:c>
      <x:c r="G12" s="3">
        <x:v>0.948587570621469</x:v>
      </x:c>
      <x:c r="H12" s="3">
        <x:v>0.8103942598045099</x:v>
      </x:c>
      <x:c r="I12" s="3">
        <x:v>0.956518389566524</x:v>
      </x:c>
      <x:c r="J12" s="3">
        <x:v>0.8944531214506183</x:v>
      </x:c>
      <x:c r="K12" s="3">
        <x:v>0.8903954802259889</x:v>
      </x:c>
      <x:c r="L12" s="3">
        <x:v>0.7916779675001574</x:v>
      </x:c>
    </x:row>
    <x:row r="13">
      <x:c r="A13" t="s">
        <x:v>131</x:v>
      </x:c>
      <x:c r="B13">
        <x:v>3</x:v>
      </x:c>
      <x:c r="C13" t="s">
        <x:v>324</x:v>
      </x:c>
      <x:c r="D13" s="3">
        <x:v>0.8651975711082811</x:v>
      </x:c>
      <x:c r="E13" s="3">
        <x:v>0.9933097307088414</x:v>
      </x:c>
      <x:c r="F13" s="3">
        <x:v>0.973920514376693</x:v>
      </x:c>
      <x:c r="G13" s="3">
        <x:v>0.9088050314465409</x:v>
      </x:c>
      <x:c r="H13" s="3">
        <x:v>0.7955750640868381</x:v>
      </x:c>
      <x:c r="I13" s="3">
        <x:v>0.9940605127327053</x:v>
      </x:c>
      <x:c r="J13" s="3">
        <x:v>0.9381954591431519</x:v>
      </x:c>
      <x:c r="K13" s="3">
        <x:v>0.850943396226415</x:v>
      </x:c>
      <x:c r="L13" s="3">
        <x:v>0.8861234776826383</x:v>
      </x:c>
    </x:row>
    <x:row r="14">
      <x:c r="A14" t="s">
        <x:v>146</x:v>
      </x:c>
      <x:c r="B14">
        <x:v>0</x:v>
      </x:c>
      <x:c r="C14" t="s">
        <x:v>321</x:v>
      </x:c>
    </x:row>
    <x:row r="15">
      <x:c r="A15" t="s">
        <x:v>146</x:v>
      </x:c>
      <x:c r="B15">
        <x:v>1</x:v>
      </x:c>
      <x:c r="C15" t="s">
        <x:v>322</x:v>
      </x:c>
      <x:c r="D15" s="3">
        <x:v>0.4157602372552777</x:v>
      </x:c>
      <x:c r="E15" s="3">
        <x:v>0.8277487021328449</x:v>
      </x:c>
      <x:c r="F15" s="3">
        <x:v>0.3617739602747446</x:v>
      </x:c>
      <x:c r="G15" s="3">
        <x:v>0.6373540856031129</x:v>
      </x:c>
      <x:c r="H15" s="3">
        <x:v>0.1597212073200472</x:v>
      </x:c>
      <x:c r="I15" s="3">
        <x:v>0.5126004899248094</x:v>
      </x:c>
      <x:c r="J15" s="3">
        <x:v>0.0727012594769096</x:v>
      </x:c>
      <x:c r="K15" s="3">
        <x:v>0.3906614785992218</x:v>
      </x:c>
      <x:c r="L15" s="3">
        <x:v>0.4972665792133816</x:v>
      </x:c>
    </x:row>
    <x:row r="16">
      <x:c r="A16" t="s">
        <x:v>146</x:v>
      </x:c>
      <x:c r="B16">
        <x:v>2</x:v>
      </x:c>
      <x:c r="C16" t="s">
        <x:v>323</x:v>
      </x:c>
      <x:c r="D16" s="3">
        <x:v>0.7517788878502777</x:v>
      </x:c>
      <x:c r="E16" s="3">
        <x:v>0.9147470241611912</x:v>
      </x:c>
      <x:c r="F16" s="3">
        <x:v>0.8337727481576731</x:v>
      </x:c>
      <x:c r="G16" s="3">
        <x:v>0.9112994350282486</x:v>
      </x:c>
      <x:c r="H16" s="3">
        <x:v>0.7138081513406329</x:v>
      </x:c>
      <x:c r="I16" s="3">
        <x:v>0.92592315439578</x:v>
      </x:c>
      <x:c r="J16" s="3">
        <x:v>0.800278401177875</x:v>
      </x:c>
      <x:c r="K16" s="3">
        <x:v>0.8502824858757062</x:v>
      </x:c>
      <x:c r="L16" s="3">
        <x:v>0.7689928811902561</x:v>
      </x:c>
    </x:row>
    <x:row r="17">
      <x:c r="A17" t="s">
        <x:v>146</x:v>
      </x:c>
      <x:c r="B17">
        <x:v>3</x:v>
      </x:c>
      <x:c r="C17" t="s">
        <x:v>324</x:v>
      </x:c>
      <x:c r="D17" s="3">
        <x:v>0.736209481976369</x:v>
      </x:c>
      <x:c r="E17" s="3">
        <x:v>0.9773139105121472</x:v>
      </x:c>
      <x:c r="F17" s="3">
        <x:v>0.8979973948858035</x:v>
      </x:c>
      <x:c r="G17" s="3">
        <x:v>0.8144654088050315</x:v>
      </x:c>
      <x:c r="H17" s="3">
        <x:v>0.6804350712697038</x:v>
      </x:c>
      <x:c r="I17" s="3">
        <x:v>0.9704961053562535</x:v>
      </x:c>
      <x:c r="J17" s="3">
        <x:v>0.804604980626522</x:v>
      </x:c>
      <x:c r="K17" s="3">
        <x:v>0.7911949685534593</x:v>
      </x:c>
      <x:c r="L17" s="3">
        <x:v>0.7816112941771235</x:v>
      </x:c>
    </x:row>
    <x:row r="18">
      <x:c r="A18" t="s">
        <x:v>154</x:v>
      </x:c>
      <x:c r="B18">
        <x:v>0</x:v>
      </x:c>
      <x:c r="C18" t="s">
        <x:v>321</x:v>
      </x:c>
    </x:row>
    <x:row r="19">
      <x:c r="A19" t="s">
        <x:v>154</x:v>
      </x:c>
      <x:c r="B19">
        <x:v>1</x:v>
      </x:c>
      <x:c r="C19" t="s">
        <x:v>322</x:v>
      </x:c>
      <x:c r="D19" s="3">
        <x:v>0.4240743048564564</x:v>
      </x:c>
      <x:c r="E19" s="3">
        <x:v>0.8240990468788516</x:v>
      </x:c>
      <x:c r="F19" s="3">
        <x:v>0.3919040857832346</x:v>
      </x:c>
      <x:c r="G19" s="3">
        <x:v>0.6365758754863814</x:v>
      </x:c>
      <x:c r="H19" s="3">
        <x:v>0.1592001517365182</x:v>
      </x:c>
      <x:c r="I19" s="3">
        <x:v>0.5004714203885176</x:v>
      </x:c>
      <x:c r="J19" s="3">
        <x:v>0.07314381367790315</x:v>
      </x:c>
      <x:c r="K19" s="3">
        <x:v>0.3832684824902723</x:v>
      </x:c>
      <x:c r="L19" s="3">
        <x:v>0.4977219554242088</x:v>
      </x:c>
    </x:row>
    <x:row r="20">
      <x:c r="A20" t="s">
        <x:v>154</x:v>
      </x:c>
      <x:c r="B20">
        <x:v>2</x:v>
      </x:c>
      <x:c r="C20" t="s">
        <x:v>323</x:v>
      </x:c>
      <x:c r="D20" s="3">
        <x:v>0.736843607345855</x:v>
      </x:c>
      <x:c r="E20" s="3">
        <x:v>0.9177004329784126</x:v>
      </x:c>
      <x:c r="F20" s="3">
        <x:v>0.820954093301047</x:v>
      </x:c>
      <x:c r="G20" s="3">
        <x:v>0.9050847457627118</x:v>
      </x:c>
      <x:c r="H20" s="3">
        <x:v>0.7065620837212496</x:v>
      </x:c>
      <x:c r="I20" s="3">
        <x:v>0.9252103590169429</x:v>
      </x:c>
      <x:c r="J20" s="3">
        <x:v>0.7960276153879794</x:v>
      </x:c>
      <x:c r="K20" s="3">
        <x:v>0.8451977401129944</x:v>
      </x:c>
      <x:c r="L20" s="3">
        <x:v>0.7535587347570396</x:v>
      </x:c>
    </x:row>
    <x:row r="21">
      <x:c r="A21" t="s">
        <x:v>154</x:v>
      </x:c>
      <x:c r="B21">
        <x:v>3</x:v>
      </x:c>
      <x:c r="C21" t="s">
        <x:v>324</x:v>
      </x:c>
      <x:c r="D21" s="3">
        <x:v>0.7362231746226828</x:v>
      </x:c>
      <x:c r="E21" s="3">
        <x:v>0.973618987864693</x:v>
      </x:c>
      <x:c r="F21" s="3">
        <x:v>0.8880228099740658</x:v>
      </x:c>
      <x:c r="G21" s="3">
        <x:v>0.8132075471698114</x:v>
      </x:c>
      <x:c r="H21" s="3">
        <x:v>0.6787818552428546</x:v>
      </x:c>
      <x:c r="I21" s="3">
        <x:v>0.9674365530392919</x:v>
      </x:c>
      <x:c r="J21" s="3">
        <x:v>0.8065418011894291</x:v>
      </x:c>
      <x:c r="K21" s="3">
        <x:v>0.7886792452830189</x:v>
      </x:c>
      <x:c r="L21" s="3">
        <x:v>0.7740278175778628</x:v>
      </x:c>
    </x:row>
    <x:row r="22">
      <x:c r="A22" t="s">
        <x:v>160</x:v>
      </x:c>
      <x:c r="B22">
        <x:v>0</x:v>
      </x:c>
      <x:c r="C22" t="s">
        <x:v>321</x:v>
      </x:c>
    </x:row>
    <x:row r="23">
      <x:c r="A23" t="s">
        <x:v>160</x:v>
      </x:c>
      <x:c r="B23">
        <x:v>1</x:v>
      </x:c>
      <x:c r="C23" t="s">
        <x:v>322</x:v>
      </x:c>
      <x:c r="D23" s="3">
        <x:v>0.5137161285675815</x:v>
      </x:c>
      <x:c r="E23" s="3">
        <x:v>0.8490539486452019</x:v>
      </x:c>
      <x:c r="F23" s="3">
        <x:v>0.4903268483933048</x:v>
      </x:c>
      <x:c r="G23" s="3">
        <x:v>0.777431906614786</x:v>
      </x:c>
      <x:c r="H23" s="3">
        <x:v>0.2050244117001869</x:v>
      </x:c>
      <x:c r="I23" s="3">
        <x:v>0.5786579760461249</x:v>
      </x:c>
      <x:c r="J23" s="3">
        <x:v>0.1141134215323616</x:v>
      </x:c>
      <x:c r="K23" s="3">
        <x:v>0.4470817120622568</x:v>
      </x:c>
      <x:c r="L23" s="3">
        <x:v>0.4952006035218866</x:v>
      </x:c>
    </x:row>
    <x:row r="24">
      <x:c r="A24" t="s">
        <x:v>160</x:v>
      </x:c>
      <x:c r="B24">
        <x:v>2</x:v>
      </x:c>
      <x:c r="C24" t="s">
        <x:v>323</x:v>
      </x:c>
      <x:c r="D24" s="3">
        <x:v>0.8590057209563307</x:v>
      </x:c>
      <x:c r="E24" s="3">
        <x:v>0.9639930358341728</x:v>
      </x:c>
      <x:c r="F24" s="3">
        <x:v>0.9186967396930418</x:v>
      </x:c>
      <x:c r="G24" s="3">
        <x:v>0.9389830508474576</x:v>
      </x:c>
      <x:c r="H24" s="3">
        <x:v>0.8186274305127421</x:v>
      </x:c>
      <x:c r="I24" s="3">
        <x:v>0.9639901278362424</x:v>
      </x:c>
      <x:c r="J24" s="3">
        <x:v>0.9169979388475592</x:v>
      </x:c>
      <x:c r="K24" s="3">
        <x:v>0.8915254237288137</x:v>
      </x:c>
      <x:c r="L24" s="3">
        <x:v>0.8270694921665872</x:v>
      </x:c>
    </x:row>
    <x:row r="25">
      <x:c r="A25" t="s">
        <x:v>160</x:v>
      </x:c>
      <x:c r="B25">
        <x:v>3</x:v>
      </x:c>
      <x:c r="C25" t="s">
        <x:v>324</x:v>
      </x:c>
      <x:c r="D25" s="3">
        <x:v>0.8442759613220315</x:v>
      </x:c>
      <x:c r="E25" s="3">
        <x:v>0.9886539301157651</x:v>
      </x:c>
      <x:c r="F25" s="3">
        <x:v>0.9631737421290855</x:v>
      </x:c>
      <x:c r="G25" s="3">
        <x:v>0.9044025157232705</x:v>
      </x:c>
      <x:c r="H25" s="3">
        <x:v>0.7830381746413044</x:v>
      </x:c>
      <x:c r="I25" s="3">
        <x:v>0.9886539301157651</x:v>
      </x:c>
      <x:c r="J25" s="3">
        <x:v>0.9463303845003482</x:v>
      </x:c>
      <x:c r="K25" s="3">
        <x:v>0.8553459119496853</x:v>
      </x:c>
      <x:c r="L25" s="3">
        <x:v>0.8794283476273069</x:v>
      </x:c>
    </x:row>
    <x:row r="26">
      <x:c r="A26" t="s">
        <x:v>168</x:v>
      </x:c>
      <x:c r="B26">
        <x:v>0</x:v>
      </x:c>
      <x:c r="C26" t="s">
        <x:v>321</x:v>
      </x:c>
    </x:row>
    <x:row r="27">
      <x:c r="A27" t="s">
        <x:v>168</x:v>
      </x:c>
      <x:c r="B27">
        <x:v>1</x:v>
      </x:c>
      <x:c r="C27" t="s">
        <x:v>322</x:v>
      </x:c>
      <x:c r="D27" s="3">
        <x:v>0.502592356593045</x:v>
      </x:c>
      <x:c r="E27" s="3">
        <x:v>0.8421516324837039</x:v>
      </x:c>
      <x:c r="F27" s="3">
        <x:v>0.4918127102173494</x:v>
      </x:c>
      <x:c r="G27" s="3">
        <x:v>0.7785992217898833</x:v>
      </x:c>
      <x:c r="H27" s="3">
        <x:v>0.1981583734153998</x:v>
      </x:c>
      <x:c r="I27" s="3">
        <x:v>0.5470431345569658</x:v>
      </x:c>
      <x:c r="J27" s="3">
        <x:v>0.1131269277208196</x:v>
      </x:c>
      <x:c r="K27" s="3">
        <x:v>0.4280155642023346</x:v>
      </x:c>
      <x:c r="L27" s="3">
        <x:v>0.5678439304242677</x:v>
      </x:c>
    </x:row>
    <x:row r="28">
      <x:c r="A28" t="s">
        <x:v>168</x:v>
      </x:c>
      <x:c r="B28">
        <x:v>2</x:v>
      </x:c>
      <x:c r="C28" t="s">
        <x:v>323</x:v>
      </x:c>
      <x:c r="D28" s="3">
        <x:v>0.8168933979722027</x:v>
      </x:c>
      <x:c r="E28" s="3">
        <x:v>0.945186093319396</x:v>
      </x:c>
      <x:c r="F28" s="3">
        <x:v>0.8603825855984806</x:v>
      </x:c>
      <x:c r="G28" s="3">
        <x:v>0.9418079096045199</x:v>
      </x:c>
      <x:c r="H28" s="3">
        <x:v>0.779948611910372</x:v>
      </x:c>
      <x:c r="I28" s="3">
        <x:v>0.9453224240799136</x:v>
      </x:c>
      <x:c r="J28" s="3">
        <x:v>0.8621542170770602</x:v>
      </x:c>
      <x:c r="K28" s="3">
        <x:v>0.8920903954802262</x:v>
      </x:c>
      <x:c r="L28" s="3">
        <x:v>0.8142679935614923</x:v>
      </x:c>
    </x:row>
    <x:row r="29">
      <x:c r="A29" t="s">
        <x:v>168</x:v>
      </x:c>
      <x:c r="B29">
        <x:v>3</x:v>
      </x:c>
      <x:c r="C29" t="s">
        <x:v>324</x:v>
      </x:c>
      <x:c r="D29" s="3">
        <x:v>0.8288782439463696</x:v>
      </x:c>
      <x:c r="E29" s="3">
        <x:v>0.9862319833075417</x:v>
      </x:c>
      <x:c r="F29" s="3">
        <x:v>0.9730657908857345</x:v>
      </x:c>
      <x:c r="G29" s="3">
        <x:v>0.9062893081761005</x:v>
      </x:c>
      <x:c r="H29" s="3">
        <x:v>0.7770189539142164</x:v>
      </x:c>
      <x:c r="I29" s="3">
        <x:v>0.981587894287837</x:v>
      </x:c>
      <x:c r="J29" s="3">
        <x:v>0.9405036754748326</x:v>
      </x:c>
      <x:c r="K29" s="3">
        <x:v>0.8522012578616351</x:v>
      </x:c>
      <x:c r="L29" s="3">
        <x:v>0.8772740205370959</x:v>
      </x:c>
    </x:row>
    <x:row r="30">
      <x:c r="A30" t="s">
        <x:v>176</x:v>
      </x:c>
      <x:c r="B30">
        <x:v>0</x:v>
      </x:c>
      <x:c r="C30" t="s">
        <x:v>321</x:v>
      </x:c>
    </x:row>
    <x:row r="31">
      <x:c r="A31" t="s">
        <x:v>176</x:v>
      </x:c>
      <x:c r="B31">
        <x:v>1</x:v>
      </x:c>
      <x:c r="C31" t="s">
        <x:v>322</x:v>
      </x:c>
      <x:c r="D31" s="3">
        <x:v>0.2596677654329713</x:v>
      </x:c>
      <x:c r="E31" s="3">
        <x:v>0.713845547226416</x:v>
      </x:c>
      <x:c r="F31" s="3">
        <x:v>0.09915007751893386</x:v>
      </x:c>
      <x:c r="G31" s="3">
        <x:v>0.5785992217898832</x:v>
      </x:c>
      <x:c r="H31" s="3">
        <x:v>0.1551467087866984</x:v>
      </x:c>
      <x:c r="I31" s="3">
        <x:v>0.5034416939381229</x:v>
      </x:c>
      <x:c r="J31" s="3">
        <x:v>0.05380779367753603</x:v>
      </x:c>
      <x:c r="K31" s="3">
        <x:v>0.442023346303502</x:v>
      </x:c>
      <x:c r="L31" s="3">
        <x:v>0.4966257233215513</x:v>
      </x:c>
    </x:row>
    <x:row r="32">
      <x:c r="A32" t="s">
        <x:v>176</x:v>
      </x:c>
      <x:c r="B32">
        <x:v>2</x:v>
      </x:c>
      <x:c r="C32" t="s">
        <x:v>323</x:v>
      </x:c>
      <x:c r="D32" s="3">
        <x:v>0.623084198352752</x:v>
      </x:c>
      <x:c r="E32" s="3">
        <x:v>0.8838836940568795</x:v>
      </x:c>
      <x:c r="F32" s="3">
        <x:v>0.7821264353837437</x:v>
      </x:c>
      <x:c r="G32" s="3">
        <x:v>0.8237288135593221</x:v>
      </x:c>
      <x:c r="H32" s="3">
        <x:v>0.7046963208519428</x:v>
      </x:c>
      <x:c r="I32" s="3">
        <x:v>0.9035607510180678</x:v>
      </x:c>
      <x:c r="J32" s="3">
        <x:v>0.811740223629088</x:v>
      </x:c>
      <x:c r="K32" s="3">
        <x:v>0.8745762711864407</x:v>
      </x:c>
      <x:c r="L32" s="3">
        <x:v>0.6825836484804179</x:v>
      </x:c>
    </x:row>
    <x:row r="33">
      <x:c r="A33" t="s">
        <x:v>176</x:v>
      </x:c>
      <x:c r="B33">
        <x:v>3</x:v>
      </x:c>
      <x:c r="C33" t="s">
        <x:v>324</x:v>
      </x:c>
      <x:c r="D33" s="3">
        <x:v>0.6714029439499232</x:v>
      </x:c>
      <x:c r="E33" s="3">
        <x:v>0.9791314701682525</x:v>
      </x:c>
      <x:c r="F33" s="3">
        <x:v>0.872514897535601</x:v>
      </x:c>
      <x:c r="G33" s="3">
        <x:v>0.759119496855346</x:v>
      </x:c>
      <x:c r="H33" s="3">
        <x:v>0.7042069754284283</x:v>
      </x:c>
      <x:c r="I33" s="3">
        <x:v>0.9825137192359831</x:v>
      </x:c>
      <x:c r="J33" s="3">
        <x:v>0.7985486294894314</x:v>
      </x:c>
      <x:c r="K33" s="3">
        <x:v>0.8213836477987421</x:v>
      </x:c>
      <x:c r="L33" s="3">
        <x:v>0.7634634866128102</x:v>
      </x:c>
    </x:row>
    <x:row r="34">
      <x:c r="A34" t="s">
        <x:v>182</x:v>
      </x:c>
      <x:c r="B34">
        <x:v>0</x:v>
      </x:c>
      <x:c r="C34" t="s">
        <x:v>321</x:v>
      </x:c>
    </x:row>
    <x:row r="35">
      <x:c r="A35" t="s">
        <x:v>182</x:v>
      </x:c>
      <x:c r="B35">
        <x:v>1</x:v>
      </x:c>
      <x:c r="C35" t="s">
        <x:v>322</x:v>
      </x:c>
      <x:c r="D35" s="3">
        <x:v>0.5070954507950055</x:v>
      </x:c>
      <x:c r="E35" s="3">
        <x:v>0.8506529984923836</x:v>
      </x:c>
      <x:c r="F35" s="3">
        <x:v>0.4959242025144023</x:v>
      </x:c>
      <x:c r="G35" s="3">
        <x:v>0.7766536964980546</x:v>
      </x:c>
      <x:c r="H35" s="3">
        <x:v>0.2021818010045539</x:v>
      </x:c>
      <x:c r="I35" s="3">
        <x:v>0.5684286374998435</x:v>
      </x:c>
      <x:c r="J35" s="3">
        <x:v>0.1039816667093736</x:v>
      </x:c>
      <x:c r="K35" s="3">
        <x:v>0.4482490272373541</x:v>
      </x:c>
      <x:c r="L35" s="3">
        <x:v>0.4927062193540484</x:v>
      </x:c>
    </x:row>
    <x:row r="36">
      <x:c r="A36" t="s">
        <x:v>182</x:v>
      </x:c>
      <x:c r="B36">
        <x:v>2</x:v>
      </x:c>
      <x:c r="C36" t="s">
        <x:v>323</x:v>
      </x:c>
      <x:c r="D36" s="3">
        <x:v>0.8622203629555727</x:v>
      </x:c>
      <x:c r="E36" s="3">
        <x:v>0.9661463871465577</x:v>
      </x:c>
      <x:c r="F36" s="3">
        <x:v>0.9153370703402771</x:v>
      </x:c>
      <x:c r="G36" s="3">
        <x:v>0.9446327683615821</x:v>
      </x:c>
      <x:c r="H36" s="3">
        <x:v>0.8192452302865462</x:v>
      </x:c>
      <x:c r="I36" s="3">
        <x:v>0.9650253096022698</x:v>
      </x:c>
      <x:c r="J36" s="3">
        <x:v>0.9166025676635815</x:v>
      </x:c>
      <x:c r="K36" s="3">
        <x:v>0.8920903954802262</x:v>
      </x:c>
      <x:c r="L36" s="3">
        <x:v>0.8368783523463839</x:v>
      </x:c>
    </x:row>
    <x:row r="37">
      <x:c r="A37" t="s">
        <x:v>182</x:v>
      </x:c>
      <x:c r="B37">
        <x:v>3</x:v>
      </x:c>
      <x:c r="C37" t="s">
        <x:v>324</x:v>
      </x:c>
      <x:c r="D37" s="3">
        <x:v>0.8464778919571467</x:v>
      </x:c>
      <x:c r="E37" s="3">
        <x:v>0.9910237989441721</x:v>
      </x:c>
      <x:c r="F37" s="3">
        <x:v>0.9662137687080642</x:v>
      </x:c>
      <x:c r="G37" s="3">
        <x:v>0.9044025157232705</x:v>
      </x:c>
      <x:c r="H37" s="3">
        <x:v>0.787308747114441</x:v>
      </x:c>
      <x:c r="I37" s="3">
        <x:v>0.9910237989441721</x:v>
      </x:c>
      <x:c r="J37" s="3">
        <x:v>0.94814605991959</x:v>
      </x:c>
      <x:c r="K37" s="3">
        <x:v>0.8603773584905661</x:v>
      </x:c>
      <x:c r="L37" s="3">
        <x:v>0.8804840375610128</x:v>
      </x:c>
    </x:row>
    <x:row r="38">
      <x:c r="A38" t="s">
        <x:v>190</x:v>
      </x:c>
      <x:c r="B38">
        <x:v>0</x:v>
      </x:c>
      <x:c r="C38" t="s">
        <x:v>321</x:v>
      </x:c>
    </x:row>
    <x:row r="39">
      <x:c r="A39" t="s">
        <x:v>190</x:v>
      </x:c>
      <x:c r="B39">
        <x:v>1</x:v>
      </x:c>
      <x:c r="C39" t="s">
        <x:v>322</x:v>
      </x:c>
      <x:c r="D39" s="3">
        <x:v>0.5116692320412884</x:v>
      </x:c>
      <x:c r="E39" s="3">
        <x:v>0.8492762793419327</x:v>
      </x:c>
      <x:c r="F39" s="3">
        <x:v>0.5045307193773646</x:v>
      </x:c>
      <x:c r="G39" s="3">
        <x:v>0.7782101167315175</x:v>
      </x:c>
      <x:c r="H39" s="3">
        <x:v>0.2005136712257924</x:v>
      </x:c>
      <x:c r="I39" s="3">
        <x:v>0.5745077839211444</x:v>
      </x:c>
      <x:c r="J39" s="3">
        <x:v>0.1020524759785629</x:v>
      </x:c>
      <x:c r="K39" s="3">
        <x:v>0.4501945525291829</x:v>
      </x:c>
      <x:c r="L39" s="3">
        <x:v>0.5105656149463725</x:v>
      </x:c>
    </x:row>
    <x:row r="40">
      <x:c r="A40" t="s">
        <x:v>190</x:v>
      </x:c>
      <x:c r="B40">
        <x:v>2</x:v>
      </x:c>
      <x:c r="C40" t="s">
        <x:v>323</x:v>
      </x:c>
      <x:c r="D40" s="3">
        <x:v>0.860397575260193</x:v>
      </x:c>
      <x:c r="E40" s="3">
        <x:v>0.9666068703641788</x:v>
      </x:c>
      <x:c r="F40" s="3">
        <x:v>0.9101076303720602</x:v>
      </x:c>
      <x:c r="G40" s="3">
        <x:v>0.9418079096045199</x:v>
      </x:c>
      <x:c r="H40" s="3">
        <x:v>0.8174965959180367</x:v>
      </x:c>
      <x:c r="I40" s="3">
        <x:v>0.9654432233669703</x:v>
      </x:c>
      <x:c r="J40" s="3">
        <x:v>0.9139522296680228</x:v>
      </x:c>
      <x:c r="K40" s="3">
        <x:v>0.8926553672316386</x:v>
      </x:c>
      <x:c r="L40" s="3">
        <x:v>0.840745585638782</x:v>
      </x:c>
    </x:row>
    <x:row r="41">
      <x:c r="A41" t="s">
        <x:v>190</x:v>
      </x:c>
      <x:c r="B41">
        <x:v>3</x:v>
      </x:c>
      <x:c r="C41" t="s">
        <x:v>324</x:v>
      </x:c>
      <x:c r="D41" s="3">
        <x:v>0.8481922733013521</x:v>
      </x:c>
      <x:c r="E41" s="3">
        <x:v>0.9910049663870832</x:v>
      </x:c>
      <x:c r="F41" s="3">
        <x:v>0.9692356927846499</x:v>
      </x:c>
      <x:c r="G41" s="3">
        <x:v>0.9050314465408805</x:v>
      </x:c>
      <x:c r="H41" s="3">
        <x:v>0.7890175289397858</x:v>
      </x:c>
      <x:c r="I41" s="3">
        <x:v>0.9910049663870832</x:v>
      </x:c>
      <x:c r="J41" s="3">
        <x:v>0.9460656923591896</x:v>
      </x:c>
      <x:c r="K41" s="3">
        <x:v>0.859748427672956</x:v>
      </x:c>
      <x:c r="L41" s="3">
        <x:v>0.8723224840337338</x:v>
      </x:c>
    </x:row>
    <x:row r="42">
      <x:c r="A42" t="s">
        <x:v>196</x:v>
      </x:c>
      <x:c r="B42">
        <x:v>0</x:v>
      </x:c>
      <x:c r="C42" t="s">
        <x:v>321</x:v>
      </x:c>
    </x:row>
    <x:row r="43">
      <x:c r="A43" t="s">
        <x:v>196</x:v>
      </x:c>
      <x:c r="B43">
        <x:v>1</x:v>
      </x:c>
      <x:c r="C43" t="s">
        <x:v>322</x:v>
      </x:c>
      <x:c r="D43" s="3">
        <x:v>0.4880509402351506</x:v>
      </x:c>
      <x:c r="E43" s="3">
        <x:v>0.832984755844315</x:v>
      </x:c>
      <x:c r="F43" s="3">
        <x:v>0.4782657845710908</x:v>
      </x:c>
      <x:c r="G43" s="3">
        <x:v>0.7552529182879378</x:v>
      </x:c>
      <x:c r="H43" s="3">
        <x:v>0.1779325018728566</x:v>
      </x:c>
      <x:c r="I43" s="3">
        <x:v>0.5540497887433841</x:v>
      </x:c>
      <x:c r="J43" s="3">
        <x:v>0.08844083628306573</x:v>
      </x:c>
      <x:c r="K43" s="3">
        <x:v>0.4062256809338521</x:v>
      </x:c>
      <x:c r="L43" s="3">
        <x:v>0.5108846930582253</x:v>
      </x:c>
    </x:row>
    <x:row r="44">
      <x:c r="A44" t="s">
        <x:v>196</x:v>
      </x:c>
      <x:c r="B44">
        <x:v>2</x:v>
      </x:c>
      <x:c r="C44" t="s">
        <x:v>323</x:v>
      </x:c>
      <x:c r="D44" s="3">
        <x:v>0.8572612812086843</x:v>
      </x:c>
      <x:c r="E44" s="3">
        <x:v>0.9674489095267509</x:v>
      </x:c>
      <x:c r="F44" s="3">
        <x:v>0.9147042780086637</x:v>
      </x:c>
      <x:c r="G44" s="3">
        <x:v>0.9389830508474576</x:v>
      </x:c>
      <x:c r="H44" s="3">
        <x:v>0.8176863134429261</x:v>
      </x:c>
      <x:c r="I44" s="3">
        <x:v>0.9665622533966415</x:v>
      </x:c>
      <x:c r="J44" s="3">
        <x:v>0.9065405876519234</x:v>
      </x:c>
      <x:c r="K44" s="3">
        <x:v>0.8903954802259888</x:v>
      </x:c>
      <x:c r="L44" s="3">
        <x:v>0.8119404553677999</x:v>
      </x:c>
    </x:row>
    <x:row r="45">
      <x:c r="A45" t="s">
        <x:v>196</x:v>
      </x:c>
      <x:c r="B45">
        <x:v>3</x:v>
      </x:c>
      <x:c r="C45" t="s">
        <x:v>324</x:v>
      </x:c>
      <x:c r="D45" s="3">
        <x:v>0.8503335933303477</x:v>
      </x:c>
      <x:c r="E45" s="3">
        <x:v>0.9962270340925352</x:v>
      </x:c>
      <x:c r="F45" s="3">
        <x:v>0.9832937910773543</x:v>
      </x:c>
      <x:c r="G45" s="3">
        <x:v>0.9069182389937106</x:v>
      </x:c>
      <x:c r="H45" s="3">
        <x:v>0.7863593852277173</x:v>
      </x:c>
      <x:c r="I45" s="3">
        <x:v>0.9962270340925352</x:v>
      </x:c>
      <x:c r="J45" s="3">
        <x:v>0.9609722301001549</x:v>
      </x:c>
      <x:c r="K45" s="3">
        <x:v>0.8566037735849056</x:v>
      </x:c>
      <x:c r="L45" s="3">
        <x:v>0.8830940950709982</x:v>
      </x:c>
    </x:row>
    <x:row r="46">
      <x:c r="A46" t="s">
        <x:v>204</x:v>
      </x:c>
      <x:c r="B46">
        <x:v>0</x:v>
      </x:c>
      <x:c r="C46" t="s">
        <x:v>321</x:v>
      </x:c>
    </x:row>
    <x:row r="47">
      <x:c r="A47" t="s">
        <x:v>204</x:v>
      </x:c>
      <x:c r="B47">
        <x:v>1</x:v>
      </x:c>
      <x:c r="C47" t="s">
        <x:v>322</x:v>
      </x:c>
      <x:c r="D47" s="3">
        <x:v>0.4921789621918771</x:v>
      </x:c>
      <x:c r="E47" s="3">
        <x:v>0.8490203318153154</x:v>
      </x:c>
      <x:c r="F47" s="3">
        <x:v>0.4719682295590615</x:v>
      </x:c>
      <x:c r="G47" s="3">
        <x:v>0.7704280155642024</x:v>
      </x:c>
      <x:c r="H47" s="3">
        <x:v>0.1987651972617195</x:v>
      </x:c>
      <x:c r="I47" s="3">
        <x:v>0.5732217066276503</x:v>
      </x:c>
      <x:c r="J47" s="3">
        <x:v>0.09743927691921488</x:v>
      </x:c>
      <x:c r="K47" s="3">
        <x:v>0.4459143968871596</x:v>
      </x:c>
      <x:c r="L47" s="3">
        <x:v>0.4749513463137409</x:v>
      </x:c>
    </x:row>
    <x:row r="48">
      <x:c r="A48" t="s">
        <x:v>204</x:v>
      </x:c>
      <x:c r="B48">
        <x:v>2</x:v>
      </x:c>
      <x:c r="C48" t="s">
        <x:v>323</x:v>
      </x:c>
      <x:c r="D48" s="3">
        <x:v>0.857858252794336</x:v>
      </x:c>
      <x:c r="E48" s="3">
        <x:v>0.9678674188939997</x:v>
      </x:c>
      <x:c r="F48" s="3">
        <x:v>0.8986527208960818</x:v>
      </x:c>
      <x:c r="G48" s="3">
        <x:v>0.9389830508474576</x:v>
      </x:c>
      <x:c r="H48" s="3">
        <x:v>0.8161879963642056</x:v>
      </x:c>
      <x:c r="I48" s="3">
        <x:v>0.9673196038800931</x:v>
      </x:c>
      <x:c r="J48" s="3">
        <x:v>0.9070583115921568</x:v>
      </x:c>
      <x:c r="K48" s="3">
        <x:v>0.8841807909604521</x:v>
      </x:c>
      <x:c r="L48" s="3">
        <x:v>0.8270816608603497</x:v>
      </x:c>
    </x:row>
    <x:row r="49">
      <x:c r="A49" t="s">
        <x:v>204</x:v>
      </x:c>
      <x:c r="B49">
        <x:v>3</x:v>
      </x:c>
      <x:c r="C49" t="s">
        <x:v>324</x:v>
      </x:c>
      <x:c r="D49" s="3">
        <x:v>0.8430874020725521</x:v>
      </x:c>
      <x:c r="E49" s="3">
        <x:v>0.9925285119286126</x:v>
      </x:c>
      <x:c r="F49" s="3">
        <x:v>0.9789624299984906</x:v>
      </x:c>
      <x:c r="G49" s="3">
        <x:v>0.9056603773584907</x:v>
      </x:c>
      <x:c r="H49" s="3">
        <x:v>0.7838638289348738</x:v>
      </x:c>
      <x:c r="I49" s="3">
        <x:v>0.9922867303043418</x:v>
      </x:c>
      <x:c r="J49" s="3">
        <x:v>0.9326574754706639</x:v>
      </x:c>
      <x:c r="K49" s="3">
        <x:v>0.8528301886792453</x:v>
      </x:c>
      <x:c r="L49" s="3">
        <x:v>0.8825020163028136</x:v>
      </x:c>
    </x:row>
    <x:row r="50">
      <x:c r="A50" t="s">
        <x:v>211</x:v>
      </x:c>
      <x:c r="B50">
        <x:v>0</x:v>
      </x:c>
      <x:c r="C50" t="s">
        <x:v>321</x:v>
      </x:c>
    </x:row>
    <x:row r="51">
      <x:c r="A51" t="s">
        <x:v>211</x:v>
      </x:c>
      <x:c r="B51">
        <x:v>1</x:v>
      </x:c>
      <x:c r="C51" t="s">
        <x:v>322</x:v>
      </x:c>
      <x:c r="D51" s="3">
        <x:v>0.4796649814910603</x:v>
      </x:c>
      <x:c r="E51" s="3">
        <x:v>0.823520584098081</x:v>
      </x:c>
      <x:c r="F51" s="3">
        <x:v>0.4706514362775775</x:v>
      </x:c>
      <x:c r="G51" s="3">
        <x:v>0.7548638132295721</x:v>
      </x:c>
      <x:c r="H51" s="3">
        <x:v>0.1814942011801853</x:v>
      </x:c>
      <x:c r="I51" s="3">
        <x:v>0.5450478936138573</x:v>
      </x:c>
      <x:c r="J51" s="3">
        <x:v>0.08825422084509578</x:v>
      </x:c>
      <x:c r="K51" s="3">
        <x:v>0.4042801556420234</x:v>
      </x:c>
      <x:c r="L51" s="3">
        <x:v>0.4461057016291879</x:v>
      </x:c>
    </x:row>
    <x:row r="52">
      <x:c r="A52" t="s">
        <x:v>211</x:v>
      </x:c>
      <x:c r="B52">
        <x:v>2</x:v>
      </x:c>
      <x:c r="C52" t="s">
        <x:v>323</x:v>
      </x:c>
      <x:c r="D52" s="3">
        <x:v>0.8512656776422003</x:v>
      </x:c>
      <x:c r="E52" s="3">
        <x:v>0.9547192706039394</x:v>
      </x:c>
      <x:c r="F52" s="3">
        <x:v>0.9010551616766327</x:v>
      </x:c>
      <x:c r="G52" s="3">
        <x:v>0.9457627118644067</x:v>
      </x:c>
      <x:c r="H52" s="3">
        <x:v>0.8051528717339532</x:v>
      </x:c>
      <x:c r="I52" s="3">
        <x:v>0.9573612128394136</x:v>
      </x:c>
      <x:c r="J52" s="3">
        <x:v>0.8882872933007244</x:v>
      </x:c>
      <x:c r="K52" s="3">
        <x:v>0.8887005649717514</x:v>
      </x:c>
      <x:c r="L52" s="3">
        <x:v>0.7814564205965875</x:v>
      </x:c>
    </x:row>
    <x:row r="53">
      <x:c r="A53" t="s">
        <x:v>211</x:v>
      </x:c>
      <x:c r="B53">
        <x:v>3</x:v>
      </x:c>
      <x:c r="C53" t="s">
        <x:v>324</x:v>
      </x:c>
      <x:c r="D53" s="3">
        <x:v>0.8554647808413773</x:v>
      </x:c>
      <x:c r="E53" s="3">
        <x:v>0.9956502328876526</x:v>
      </x:c>
      <x:c r="F53" s="3">
        <x:v>0.9694162342391969</x:v>
      </x:c>
      <x:c r="G53" s="3">
        <x:v>0.9031446540880503</x:v>
      </x:c>
      <x:c r="H53" s="3">
        <x:v>0.7956793246836706</x:v>
      </x:c>
      <x:c r="I53" s="3">
        <x:v>0.9956502328876526</x:v>
      </x:c>
      <x:c r="J53" s="3">
        <x:v>0.9318172952340263</x:v>
      </x:c>
      <x:c r="K53" s="3">
        <x:v>0.849685534591195</x:v>
      </x:c>
      <x:c r="L53" s="3">
        <x:v>0.8827545274614483</x:v>
      </x:c>
    </x:row>
    <x:row r="54">
      <x:c r="A54" t="s">
        <x:v>219</x:v>
      </x:c>
      <x:c r="B54">
        <x:v>0</x:v>
      </x:c>
      <x:c r="C54" t="s">
        <x:v>321</x:v>
      </x:c>
    </x:row>
    <x:row r="55">
      <x:c r="A55" t="s">
        <x:v>219</x:v>
      </x:c>
      <x:c r="B55">
        <x:v>1</x:v>
      </x:c>
      <x:c r="C55" t="s">
        <x:v>322</x:v>
      </x:c>
      <x:c r="D55" s="3">
        <x:v>0.4756240388677918</x:v>
      </x:c>
      <x:c r="E55" s="3">
        <x:v>0.8249113421206503</x:v>
      </x:c>
      <x:c r="F55" s="3">
        <x:v>0.4572972361233227</x:v>
      </x:c>
      <x:c r="G55" s="3">
        <x:v>0.775875486381323</x:v>
      </x:c>
      <x:c r="H55" s="3">
        <x:v>0.189184472315465</x:v>
      </x:c>
      <x:c r="I55" s="3">
        <x:v>0.5662905237601205</x:v>
      </x:c>
      <x:c r="J55" s="3">
        <x:v>0.09506803186378746</x:v>
      </x:c>
      <x:c r="K55" s="3">
        <x:v>0.4443579766536965</x:v>
      </x:c>
      <x:c r="L55" s="3">
        <x:v>0.4598829330308074</x:v>
      </x:c>
    </x:row>
    <x:row r="56">
      <x:c r="A56" t="s">
        <x:v>219</x:v>
      </x:c>
      <x:c r="B56">
        <x:v>2</x:v>
      </x:c>
      <x:c r="C56" t="s">
        <x:v>323</x:v>
      </x:c>
      <x:c r="D56" s="3">
        <x:v>0.8575149829491794</x:v>
      </x:c>
      <x:c r="E56" s="3">
        <x:v>0.957333290316478</x:v>
      </x:c>
      <x:c r="F56" s="3">
        <x:v>0.8989141988511302</x:v>
      </x:c>
      <x:c r="G56" s="3">
        <x:v>0.9480225988700566</x:v>
      </x:c>
      <x:c r="H56" s="3">
        <x:v>0.812963585671814</x:v>
      </x:c>
      <x:c r="I56" s="3">
        <x:v>0.9635958909679483</x:v>
      </x:c>
      <x:c r="J56" s="3">
        <x:v>0.8951659561348813</x:v>
      </x:c>
      <x:c r="K56" s="3">
        <x:v>0.888135593220339</x:v>
      </x:c>
      <x:c r="L56" s="3">
        <x:v>0.7862250213985119</x:v>
      </x:c>
    </x:row>
    <x:row r="57">
      <x:c r="A57" t="s">
        <x:v>219</x:v>
      </x:c>
      <x:c r="B57">
        <x:v>3</x:v>
      </x:c>
      <x:c r="C57" t="s">
        <x:v>324</x:v>
      </x:c>
      <x:c r="D57" s="3">
        <x:v>0.8657803714861322</x:v>
      </x:c>
      <x:c r="E57" s="3">
        <x:v>0.9934681465002789</x:v>
      </x:c>
      <x:c r="F57" s="3">
        <x:v>0.9806856409646819</x:v>
      </x:c>
      <x:c r="G57" s="3">
        <x:v>0.9106918238993711</x:v>
      </x:c>
      <x:c r="H57" s="3">
        <x:v>0.7970326165654287</x:v>
      </x:c>
      <x:c r="I57" s="3">
        <x:v>0.9940021005981422</x:v>
      </x:c>
      <x:c r="J57" s="3">
        <x:v>0.9246192067825186</x:v>
      </x:c>
      <x:c r="K57" s="3">
        <x:v>0.8490566037735847</x:v>
      </x:c>
      <x:c r="L57" s="3">
        <x:v>0.8861567772281145</x:v>
      </x:c>
    </x:row>
    <x:row r="58">
      <x:c r="A58" t="s">
        <x:v>225</x:v>
      </x:c>
      <x:c r="B58">
        <x:v>0</x:v>
      </x:c>
      <x:c r="C58" t="s">
        <x:v>321</x:v>
      </x:c>
    </x:row>
    <x:row r="59">
      <x:c r="A59" t="s">
        <x:v>225</x:v>
      </x:c>
      <x:c r="B59">
        <x:v>1</x:v>
      </x:c>
      <x:c r="C59" t="s">
        <x:v>322</x:v>
      </x:c>
      <x:c r="D59" s="3">
        <x:v>0.461478508390962</x:v>
      </x:c>
      <x:c r="E59" s="3">
        <x:v>0.8373865025975429</x:v>
      </x:c>
      <x:c r="F59" s="3">
        <x:v>0.4318995978770445</x:v>
      </x:c>
      <x:c r="G59" s="3">
        <x:v>0.7416342412451363</x:v>
      </x:c>
      <x:c r="H59" s="3">
        <x:v>0.1586644717596235</x:v>
      </x:c>
      <x:c r="I59" s="3">
        <x:v>0.4925455713182935</x:v>
      </x:c>
      <x:c r="J59" s="3">
        <x:v>0.07433755110846139</x:v>
      </x:c>
      <x:c r="K59" s="3">
        <x:v>0.3708171206225681</x:v>
      </x:c>
      <x:c r="L59" s="3">
        <x:v>0.5004321081193708</x:v>
      </x:c>
    </x:row>
    <x:row r="60">
      <x:c r="A60" t="s">
        <x:v>225</x:v>
      </x:c>
      <x:c r="B60">
        <x:v>2</x:v>
      </x:c>
      <x:c r="C60" t="s">
        <x:v>323</x:v>
      </x:c>
      <x:c r="D60" s="3">
        <x:v>0.8571234305798704</x:v>
      </x:c>
      <x:c r="E60" s="3">
        <x:v>0.9665938802801138</x:v>
      </x:c>
      <x:c r="F60" s="3">
        <x:v>0.9052432632439689</x:v>
      </x:c>
      <x:c r="G60" s="3">
        <x:v>0.9531073446327685</x:v>
      </x:c>
      <x:c r="H60" s="3">
        <x:v>0.8062606569550846</x:v>
      </x:c>
      <x:c r="I60" s="3">
        <x:v>0.9635544913121972</x:v>
      </x:c>
      <x:c r="J60" s="3">
        <x:v>0.8967147392958409</x:v>
      </x:c>
      <x:c r="K60" s="3">
        <x:v>0.8864406779661017</x:v>
      </x:c>
      <x:c r="L60" s="3">
        <x:v>0.8065372363576609</x:v>
      </x:c>
    </x:row>
    <x:row r="61">
      <x:c r="A61" t="s">
        <x:v>225</x:v>
      </x:c>
      <x:c r="B61">
        <x:v>3</x:v>
      </x:c>
      <x:c r="C61" t="s">
        <x:v>324</x:v>
      </x:c>
      <x:c r="D61" s="3">
        <x:v>0.8607672857735069</x:v>
      </x:c>
      <x:c r="E61" s="3">
        <x:v>0.9948711646452482</x:v>
      </x:c>
      <x:c r="F61" s="3">
        <x:v>0.9632030263756991</x:v>
      </x:c>
      <x:c r="G61" s="3">
        <x:v>0.909433962264151</x:v>
      </x:c>
      <x:c r="H61" s="3">
        <x:v>0.7946976545771862</x:v>
      </x:c>
      <x:c r="I61" s="3">
        <x:v>0.9908784827683649</x:v>
      </x:c>
      <x:c r="J61" s="3">
        <x:v>0.9454067253859699</x:v>
      </x:c>
      <x:c r="K61" s="3">
        <x:v>0.8484276729559749</x:v>
      </x:c>
      <x:c r="L61" s="3">
        <x:v>0.8773390457744108</x:v>
      </x:c>
    </x:row>
    <x:row r="62">
      <x:c r="A62" t="s">
        <x:v>232</x:v>
      </x:c>
      <x:c r="B62">
        <x:v>0</x:v>
      </x:c>
      <x:c r="C62" t="s">
        <x:v>321</x:v>
      </x:c>
    </x:row>
    <x:row r="63">
      <x:c r="A63" t="s">
        <x:v>232</x:v>
      </x:c>
      <x:c r="B63">
        <x:v>1</x:v>
      </x:c>
      <x:c r="C63" t="s">
        <x:v>322</x:v>
      </x:c>
      <x:c r="D63" s="3">
        <x:v>0.2616485281495941</x:v>
      </x:c>
      <x:c r="E63" s="3">
        <x:v>0.5128816964535522</x:v>
      </x:c>
      <x:c r="F63" s="3">
        <x:v>0.2370746123338595</x:v>
      </x:c>
      <x:c r="G63" s="3">
        <x:v>0.5894941634241244</x:v>
      </x:c>
      <x:c r="H63" s="3">
        <x:v>0.03676308233741382</x:v>
      </x:c>
      <x:c r="I63" s="3">
        <x:v>0.1176774410993936</x:v>
      </x:c>
      <x:c r="J63" s="3">
        <x:v>0.01455525990041382</x:v>
      </x:c>
      <x:c r="K63" s="3">
        <x:v>0.145136186770428</x:v>
      </x:c>
      <x:c r="L63" s="3">
        <x:v>0.3767986496325628</x:v>
      </x:c>
    </x:row>
    <x:row r="64">
      <x:c r="A64" t="s">
        <x:v>232</x:v>
      </x:c>
      <x:c r="B64">
        <x:v>2</x:v>
      </x:c>
      <x:c r="C64" t="s">
        <x:v>323</x:v>
      </x:c>
      <x:c r="D64" s="3">
        <x:v>0.7555792348939988</x:v>
      </x:c>
      <x:c r="E64" s="3">
        <x:v>0.957360195714414</x:v>
      </x:c>
      <x:c r="F64" s="3">
        <x:v>0.8614160932552984</x:v>
      </x:c>
      <x:c r="G64" s="3">
        <x:v>0.8954802259887005</x:v>
      </x:c>
      <x:c r="H64" s="3">
        <x:v>0.748159294580178</x:v>
      </x:c>
      <x:c r="I64" s="3">
        <x:v>0.9548318538114579</x:v>
      </x:c>
      <x:c r="J64" s="3">
        <x:v>0.8694772051740852</x:v>
      </x:c>
      <x:c r="K64" s="3">
        <x:v>0.8514124293785311</x:v>
      </x:c>
      <x:c r="L64" s="3">
        <x:v>0.7900673198198167</x:v>
      </x:c>
    </x:row>
    <x:row r="65">
      <x:c r="A65" t="s">
        <x:v>232</x:v>
      </x:c>
      <x:c r="B65">
        <x:v>3</x:v>
      </x:c>
      <x:c r="C65" t="s">
        <x:v>324</x:v>
      </x:c>
      <x:c r="D65" s="3">
        <x:v>0.7622278239539252</x:v>
      </x:c>
      <x:c r="E65" s="3">
        <x:v>0.987495480555187</x:v>
      </x:c>
      <x:c r="F65" s="3">
        <x:v>0.9247641919008722</x:v>
      </x:c>
      <x:c r="G65" s="3">
        <x:v>0.8276729559748428</x:v>
      </x:c>
      <x:c r="H65" s="3">
        <x:v>0.6380429104411383</x:v>
      </x:c>
      <x:c r="I65" s="3">
        <x:v>0.9841807590549387</x:v>
      </x:c>
      <x:c r="J65" s="3">
        <x:v>0.7515818562387716</x:v>
      </x:c>
      <x:c r="K65" s="3">
        <x:v>0.7352201257861636</x:v>
      </x:c>
      <x:c r="L65" s="3">
        <x:v>0.8104236920572929</x:v>
      </x:c>
    </x:row>
    <x:row r="66">
      <x:c r="A66" t="s">
        <x:v>239</x:v>
      </x:c>
      <x:c r="B66">
        <x:v>0</x:v>
      </x:c>
      <x:c r="C66" t="s">
        <x:v>321</x:v>
      </x:c>
    </x:row>
    <x:row r="67">
      <x:c r="A67" t="s">
        <x:v>239</x:v>
      </x:c>
      <x:c r="B67">
        <x:v>1</x:v>
      </x:c>
      <x:c r="C67" t="s">
        <x:v>322</x:v>
      </x:c>
      <x:c r="D67" s="3">
        <x:v>0.2593550284109502</x:v>
      </x:c>
      <x:c r="E67" s="3">
        <x:v>0.5235665278231862</x:v>
      </x:c>
      <x:c r="F67" s="3">
        <x:v>0.2268663603322252</x:v>
      </x:c>
      <x:c r="G67" s="3">
        <x:v>0.5902723735408559</x:v>
      </x:c>
      <x:c r="H67" s="3">
        <x:v>0.03833649678166542</x:v>
      </x:c>
      <x:c r="I67" s="3">
        <x:v>0.1176559350125389</x:v>
      </x:c>
      <x:c r="J67" s="3">
        <x:v>0.01519340965705217</x:v>
      </x:c>
      <x:c r="K67" s="3">
        <x:v>0.1501945525291829</x:v>
      </x:c>
      <x:c r="L67" s="3">
        <x:v>0.3720578694622635</x:v>
      </x:c>
    </x:row>
    <x:row r="68">
      <x:c r="A68" t="s">
        <x:v>239</x:v>
      </x:c>
      <x:c r="B68">
        <x:v>2</x:v>
      </x:c>
      <x:c r="C68" t="s">
        <x:v>323</x:v>
      </x:c>
      <x:c r="D68" s="3">
        <x:v>0.764854311863043</x:v>
      </x:c>
      <x:c r="E68" s="3">
        <x:v>0.9619916721121232</x:v>
      </x:c>
      <x:c r="F68" s="3">
        <x:v>0.8623195032300122</x:v>
      </x:c>
      <x:c r="G68" s="3">
        <x:v>0.894915254237288</x:v>
      </x:c>
      <x:c r="H68" s="3">
        <x:v>0.7562840042043182</x:v>
      </x:c>
      <x:c r="I68" s="3">
        <x:v>0.9621220734773606</x:v>
      </x:c>
      <x:c r="J68" s="3">
        <x:v>0.8772955246354268</x:v>
      </x:c>
      <x:c r="K68" s="3">
        <x:v>0.8468926553672317</x:v>
      </x:c>
      <x:c r="L68" s="3">
        <x:v>0.7834011201396386</x:v>
      </x:c>
    </x:row>
    <x:row r="69">
      <x:c r="A69" t="s">
        <x:v>239</x:v>
      </x:c>
      <x:c r="B69">
        <x:v>3</x:v>
      </x:c>
      <x:c r="C69" t="s">
        <x:v>324</x:v>
      </x:c>
      <x:c r="D69" s="3">
        <x:v>0.7652161033145182</x:v>
      </x:c>
      <x:c r="E69" s="3">
        <x:v>0.9917924772926365</x:v>
      </x:c>
      <x:c r="F69" s="3">
        <x:v>0.9186949766669762</x:v>
      </x:c>
      <x:c r="G69" s="3">
        <x:v>0.8251572327044026</x:v>
      </x:c>
      <x:c r="H69" s="3">
        <x:v>0.6550479397618313</x:v>
      </x:c>
      <x:c r="I69" s="3">
        <x:v>0.9895247116435459</x:v>
      </x:c>
      <x:c r="J69" s="3">
        <x:v>0.8308610888401827</x:v>
      </x:c>
      <x:c r="K69" s="3">
        <x:v>0.7471698113207548</x:v>
      </x:c>
      <x:c r="L69" s="3">
        <x:v>0.795822359356877</x:v>
      </x:c>
    </x:row>
    <x:row r="70">
      <x:c r="A70" t="s">
        <x:v>252</x:v>
      </x:c>
      <x:c r="B70">
        <x:v>0</x:v>
      </x:c>
      <x:c r="C70" t="s">
        <x:v>321</x:v>
      </x:c>
    </x:row>
    <x:row r="71">
      <x:c r="A71" t="s">
        <x:v>252</x:v>
      </x:c>
      <x:c r="B71">
        <x:v>1</x:v>
      </x:c>
      <x:c r="C71" t="s">
        <x:v>322</x:v>
      </x:c>
      <x:c r="D71" s="3">
        <x:v>0.00109759311528373</x:v>
      </x:c>
      <x:c r="E71" s="3">
        <x:v>0.008267997251262484</x:v>
      </x:c>
      <x:c r="F71" s="3">
        <x:v>4.331044714081789E-06</x:v>
      </x:c>
      <x:c r="G71" s="3">
        <x:v>0.07392996108949415</x:v>
      </x:c>
      <x:c r="H71" s="3">
        <x:v>0.1549962565460021</x:v>
      </x:c>
      <x:c r="I71" s="3">
        <x:v>0.4838929332686738</x:v>
      </x:c>
      <x:c r="J71" s="3">
        <x:v>0.03950022497123743</x:v>
      </x:c>
      <x:c r="K71" s="3">
        <x:v>0.4381322957198444</x:v>
      </x:c>
      <x:c r="L71" s="3">
        <x:v>0.5261666129625868</x:v>
      </x:c>
    </x:row>
    <x:row r="72">
      <x:c r="A72" t="s">
        <x:v>252</x:v>
      </x:c>
      <x:c r="B72">
        <x:v>2</x:v>
      </x:c>
      <x:c r="C72" t="s">
        <x:v>323</x:v>
      </x:c>
      <x:c r="D72" s="3">
        <x:v>0.008060271128050087</x:v>
      </x:c>
      <x:c r="E72" s="3">
        <x:v>0.05631420740013784</x:v>
      </x:c>
      <x:c r="F72" s="3">
        <x:v>4.18292779848327E-06</x:v>
      </x:c>
      <x:c r="G72" s="3">
        <x:v>0.2361581920903955</x:v>
      </x:c>
      <x:c r="H72" s="3">
        <x:v>0.5700357049087217</x:v>
      </x:c>
      <x:c r="I72" s="3">
        <x:v>0.7777188966204384</x:v>
      </x:c>
      <x:c r="J72" s="3">
        <x:v>0.6086634180584524</x:v>
      </x:c>
      <x:c r="K72" s="3">
        <x:v>0.8677966101694915</x:v>
      </x:c>
      <x:c r="L72" s="3">
        <x:v>0.6391394708294302</x:v>
      </x:c>
    </x:row>
    <x:row r="73">
      <x:c r="A73" t="s">
        <x:v>252</x:v>
      </x:c>
      <x:c r="B73">
        <x:v>3</x:v>
      </x:c>
      <x:c r="C73" t="s">
        <x:v>324</x:v>
      </x:c>
      <x:c r="D73" s="3">
        <x:v>0.001581948431652098</x:v>
      </x:c>
      <x:c r="E73" s="3">
        <x:v>0.009335563506840755</x:v>
      </x:c>
      <x:c r="F73" s="3">
        <x:v>8.016964494287775E-05</x:v>
      </x:c>
      <x:c r="G73" s="3">
        <x:v>0.1490566037735849</x:v>
      </x:c>
      <x:c r="H73" s="3">
        <x:v>0.3856466691455591</x:v>
      </x:c>
      <x:c r="I73" s="3">
        <x:v>0.6621366459190346</x:v>
      </x:c>
      <x:c r="J73" s="3">
        <x:v>0.460417914109052</x:v>
      </x:c>
      <x:c r="K73" s="3">
        <x:v>0.8301886792452831</x:v>
      </x:c>
      <x:c r="L73" s="3">
        <x:v>0.1939851859813744</x:v>
      </x:c>
    </x:row>
    <x:row r="74">
      <x:c r="A74" t="s">
        <x:v>260</x:v>
      </x:c>
      <x:c r="B74">
        <x:v>0</x:v>
      </x:c>
      <x:c r="C74" t="s">
        <x:v>321</x:v>
      </x:c>
    </x:row>
    <x:row r="75">
      <x:c r="A75" t="s">
        <x:v>260</x:v>
      </x:c>
      <x:c r="B75">
        <x:v>1</x:v>
      </x:c>
      <x:c r="C75" t="s">
        <x:v>322</x:v>
      </x:c>
      <x:c r="D75" s="3">
        <x:v>0.4974874425879634</x:v>
      </x:c>
      <x:c r="E75" s="3">
        <x:v>0.8338956208980413</x:v>
      </x:c>
      <x:c r="F75" s="3">
        <x:v>0.4955539416158148</x:v>
      </x:c>
      <x:c r="G75" s="3">
        <x:v>0.7785992217898833</x:v>
      </x:c>
      <x:c r="H75" s="3">
        <x:v>0.2016873722679923</x:v>
      </x:c>
      <x:c r="I75" s="3">
        <x:v>0.558896369120119</x:v>
      </x:c>
      <x:c r="J75" s="3">
        <x:v>0.1087673930088544</x:v>
      </x:c>
      <x:c r="K75" s="3">
        <x:v>0.4443579766536965</x:v>
      </x:c>
      <x:c r="L75" s="3">
        <x:v>0.4580913761540127</x:v>
      </x:c>
    </x:row>
    <x:row r="76">
      <x:c r="A76" t="s">
        <x:v>260</x:v>
      </x:c>
      <x:c r="B76">
        <x:v>2</x:v>
      </x:c>
      <x:c r="C76" t="s">
        <x:v>323</x:v>
      </x:c>
      <x:c r="D76" s="3">
        <x:v>0.851344361857222</x:v>
      </x:c>
      <x:c r="E76" s="3">
        <x:v>0.9525251891948658</x:v>
      </x:c>
      <x:c r="F76" s="3">
        <x:v>0.8975784018824364</x:v>
      </x:c>
      <x:c r="G76" s="3">
        <x:v>0.951412429378531</x:v>
      </x:c>
      <x:c r="H76" s="3">
        <x:v>0.8077702548176117</x:v>
      </x:c>
      <x:c r="I76" s="3">
        <x:v>0.9546053915770109</x:v>
      </x:c>
      <x:c r="J76" s="3">
        <x:v>0.8895738050344557</x:v>
      </x:c>
      <x:c r="K76" s="3">
        <x:v>0.8915254237288137</x:v>
      </x:c>
      <x:c r="L76" s="3">
        <x:v>0.7896015953347233</x:v>
      </x:c>
    </x:row>
    <x:row r="77">
      <x:c r="A77" t="s">
        <x:v>260</x:v>
      </x:c>
      <x:c r="B77">
        <x:v>3</x:v>
      </x:c>
      <x:c r="C77" t="s">
        <x:v>324</x:v>
      </x:c>
      <x:c r="D77" s="3">
        <x:v>0.8585809121809176</x:v>
      </x:c>
      <x:c r="E77" s="3">
        <x:v>0.9920772783519813</x:v>
      </x:c>
      <x:c r="F77" s="3">
        <x:v>0.9723931793725268</x:v>
      </x:c>
      <x:c r="G77" s="3">
        <x:v>0.9056603773584906</x:v>
      </x:c>
      <x:c r="H77" s="3">
        <x:v>0.7848355086301763</x:v>
      </x:c>
      <x:c r="I77" s="3">
        <x:v>0.992924174479541</x:v>
      </x:c>
      <x:c r="J77" s="3">
        <x:v>0.9351838333556143</x:v>
      </x:c>
      <x:c r="K77" s="3">
        <x:v>0.8484276729559749</x:v>
      </x:c>
      <x:c r="L77" s="3">
        <x:v>0.8827603729432923</x:v>
      </x:c>
    </x:row>
    <x:row r="78">
      <x:c r="A78" t="s">
        <x:v>267</x:v>
      </x:c>
      <x:c r="B78">
        <x:v>0</x:v>
      </x:c>
      <x:c r="C78" t="s">
        <x:v>321</x:v>
      </x:c>
    </x:row>
    <x:row r="79">
      <x:c r="A79" t="s">
        <x:v>267</x:v>
      </x:c>
      <x:c r="B79">
        <x:v>1</x:v>
      </x:c>
      <x:c r="C79" t="s">
        <x:v>322</x:v>
      </x:c>
      <x:c r="D79" s="3">
        <x:v>0.0008704977530746281</x:v>
      </x:c>
      <x:c r="E79" s="3">
        <x:v>0.005809090729705784</x:v>
      </x:c>
      <x:c r="F79" s="3">
        <x:v>7.096975198200775E-07</x:v>
      </x:c>
      <x:c r="G79" s="3">
        <x:v>0.07198443579766536</x:v>
      </x:c>
      <x:c r="H79" s="3">
        <x:v>0.161656085871014</x:v>
      </x:c>
      <x:c r="I79" s="3">
        <x:v>0.5150103249646137</x:v>
      </x:c>
      <x:c r="J79" s="3">
        <x:v>0.06317276694975993</x:v>
      </x:c>
      <x:c r="K79" s="3">
        <x:v>0.4431906614785993</x:v>
      </x:c>
      <x:c r="L79" s="3">
        <x:v>0.5307426235043944</x:v>
      </x:c>
    </x:row>
    <x:row r="80">
      <x:c r="A80" t="s">
        <x:v>267</x:v>
      </x:c>
      <x:c r="B80">
        <x:v>2</x:v>
      </x:c>
      <x:c r="C80" t="s">
        <x:v>323</x:v>
      </x:c>
      <x:c r="D80" s="3">
        <x:v>0.009302728316338309</x:v>
      </x:c>
      <x:c r="E80" s="3">
        <x:v>0.05984724384895342</x:v>
      </x:c>
      <x:c r="F80" s="3">
        <x:v>8.448176445450693E-06</x:v>
      </x:c>
      <x:c r="G80" s="3">
        <x:v>0.2440677966101695</x:v>
      </x:c>
      <x:c r="H80" s="3">
        <x:v>0.5217419275314574</x:v>
      </x:c>
      <x:c r="I80" s="3">
        <x:v>0.7259813788597566</x:v>
      </x:c>
      <x:c r="J80" s="3">
        <x:v>0.5554379777269236</x:v>
      </x:c>
      <x:c r="K80" s="3">
        <x:v>0.8779661016949154</x:v>
      </x:c>
      <x:c r="L80" s="3">
        <x:v>0.672526565712723</x:v>
      </x:c>
    </x:row>
    <x:row r="81">
      <x:c r="A81" t="s">
        <x:v>267</x:v>
      </x:c>
      <x:c r="B81">
        <x:v>3</x:v>
      </x:c>
      <x:c r="C81" t="s">
        <x:v>324</x:v>
      </x:c>
      <x:c r="D81" s="3">
        <x:v>0.002054026649742906</x:v>
      </x:c>
      <x:c r="E81" s="3">
        <x:v>0.01330684046712245</x:v>
      </x:c>
      <x:c r="F81" s="3">
        <x:v>8.925601305915682E-05</x:v>
      </x:c>
      <x:c r="G81" s="3">
        <x:v>0.1559748427672956</x:v>
      </x:c>
      <x:c r="H81" s="3">
        <x:v>0.3787689615508258</x:v>
      </x:c>
      <x:c r="I81" s="3">
        <x:v>0.6254275108766424</x:v>
      </x:c>
      <x:c r="J81" s="3">
        <x:v>0.4162363510289723</x:v>
      </x:c>
      <x:c r="K81" s="3">
        <x:v>0.8327044025157232</x:v>
      </x:c>
      <x:c r="L81" s="3">
        <x:v>0.1664883400987291</x:v>
      </x:c>
    </x:row>
    <x:row r="82">
      <x:c r="A82" t="s">
        <x:v>274</x:v>
      </x:c>
      <x:c r="B82">
        <x:v>0</x:v>
      </x:c>
      <x:c r="C82" t="s">
        <x:v>321</x:v>
      </x:c>
    </x:row>
    <x:row r="83">
      <x:c r="A83" t="s">
        <x:v>274</x:v>
      </x:c>
      <x:c r="B83">
        <x:v>1</x:v>
      </x:c>
      <x:c r="C83" t="s">
        <x:v>322</x:v>
      </x:c>
      <x:c r="D83" s="3">
        <x:v>0.007789651983068401</x:v>
      </x:c>
      <x:c r="E83" s="3">
        <x:v>0.04208098432497756</x:v>
      </x:c>
      <x:c r="F83" s="3">
        <x:v>7.908011545331327E-05</x:v>
      </x:c>
      <x:c r="G83" s="3">
        <x:v>0.2237354085603113</x:v>
      </x:c>
      <x:c r="H83" s="3">
        <x:v>0.1512411030029982</x:v>
      </x:c>
      <x:c r="I83" s="3">
        <x:v>0.4724500975076368</x:v>
      </x:c>
      <x:c r="J83" s="3">
        <x:v>0.05025414230129154</x:v>
      </x:c>
      <x:c r="K83" s="3">
        <x:v>0.4416342412451362</x:v>
      </x:c>
      <x:c r="L83" s="3">
        <x:v>0.5127381109430559</x:v>
      </x:c>
    </x:row>
    <x:row r="84">
      <x:c r="A84" t="s">
        <x:v>274</x:v>
      </x:c>
      <x:c r="B84">
        <x:v>2</x:v>
      </x:c>
      <x:c r="C84" t="s">
        <x:v>323</x:v>
      </x:c>
      <x:c r="D84" s="3">
        <x:v>0.04433705410403655</x:v>
      </x:c>
      <x:c r="E84" s="3">
        <x:v>0.2177564267190529</x:v>
      </x:c>
      <x:c r="F84" s="3">
        <x:v>0.001957111545062245</x:v>
      </x:c>
      <x:c r="G84" s="3">
        <x:v>0.4559322033898304</x:v>
      </x:c>
      <x:c r="H84" s="3">
        <x:v>0.552562428927114</x:v>
      </x:c>
      <x:c r="I84" s="3">
        <x:v>0.7433593764825551</x:v>
      </x:c>
      <x:c r="J84" s="3">
        <x:v>0.6086295157092998</x:v>
      </x:c>
      <x:c r="K84" s="3">
        <x:v>0.8824858757062147</x:v>
      </x:c>
      <x:c r="L84" s="3">
        <x:v>0.6454422039888391</x:v>
      </x:c>
    </x:row>
    <x:row r="85">
      <x:c r="A85" t="s">
        <x:v>274</x:v>
      </x:c>
      <x:c r="B85">
        <x:v>3</x:v>
      </x:c>
      <x:c r="C85" t="s">
        <x:v>324</x:v>
      </x:c>
      <x:c r="D85" s="3">
        <x:v>0.0323595826347315</x:v>
      </x:c>
      <x:c r="E85" s="3">
        <x:v>0.1571968029617662</x:v>
      </x:c>
      <x:c r="F85" s="3">
        <x:v>0.00181747511599439</x:v>
      </x:c>
      <x:c r="G85" s="3">
        <x:v>0.3911949685534591</x:v>
      </x:c>
      <x:c r="H85" s="3">
        <x:v>0.369970703949433</x:v>
      </x:c>
      <x:c r="I85" s="3">
        <x:v>0.5902841651170487</x:v>
      </x:c>
      <x:c r="J85" s="3">
        <x:v>0.4207075173395494</x:v>
      </x:c>
      <x:c r="K85" s="3">
        <x:v>0.8477987421383648</x:v>
      </x:c>
      <x:c r="L85" s="3">
        <x:v>0.1285976423641059</x:v>
      </x:c>
    </x:row>
  </x:sheetData>
  <x:pageMargins left="0.7" right="0.7" top="0.75" bottom="0.75" header="0.3" footer="0.3"/>
  <x:tableParts count="1">
    <x:tablePart xmlns:r="http://schemas.openxmlformats.org/officeDocument/2006/relationships" r:id="R98aa7b47af1a4be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8" width="13.7109375" customWidth="1"/>
    <x:col min="9" max="13" width="14.7109375" style="4" customWidth="1"/>
    <x:col min="14" max="14" width="12.7109375" style="7" customWidth="1"/>
    <x:col min="15" max="17" width="18.7109375" customWidth="1"/>
    <x:col min="18" max="18" width="66.7109375" customWidth="1"/>
    <x:col min="19" max="19" width="80.7109375" style="5" customWidth="1"/>
  </x:cols>
  <x:sheetData>
    <x:row r="1" s="1" customFormat="1" ht="36" customHeight="1">
      <x:c r="A1" s="1" t="s">
        <x:v>60</x:v>
      </x:c>
      <x:c r="B1" s="1" t="s">
        <x:v>325</x:v>
      </x:c>
      <x:c r="C1" s="1" t="s">
        <x:v>326</x:v>
      </x:c>
      <x:c r="D1" s="1" t="s">
        <x:v>327</x:v>
      </x:c>
      <x:c r="E1" s="1" t="s">
        <x:v>328</x:v>
      </x:c>
      <x:c r="F1" s="1" t="s">
        <x:v>329</x:v>
      </x:c>
      <x:c r="G1" s="1" t="s">
        <x:v>330</x:v>
      </x:c>
      <x:c r="H1" s="1" t="s">
        <x:v>331</x:v>
      </x:c>
      <x:c r="I1" s="1" t="s">
        <x:v>82</x:v>
      </x:c>
      <x:c r="J1" s="1" t="s">
        <x:v>83</x:v>
      </x:c>
      <x:c r="K1" s="1" t="s">
        <x:v>84</x:v>
      </x:c>
      <x:c r="L1" s="1" t="s">
        <x:v>85</x:v>
      </x:c>
      <x:c r="M1" s="1" t="s">
        <x:v>86</x:v>
      </x:c>
      <x:c r="N1" s="1" t="s">
        <x:v>332</x:v>
      </x:c>
      <x:c r="O1" s="1" t="s">
        <x:v>91</x:v>
      </x:c>
      <x:c r="P1" s="1" t="s">
        <x:v>92</x:v>
      </x:c>
      <x:c r="Q1" s="1" t="s">
        <x:v>93</x:v>
      </x:c>
      <x:c r="R1" s="1" t="s">
        <x:v>102</x:v>
      </x:c>
      <x:c r="S1" s="1" t="s">
        <x:v>333</x:v>
      </x:c>
    </x:row>
    <x:row r="2">
      <x:c r="A2" t="s">
        <x:v>109</x:v>
      </x:c>
      <x:c r="B2">
        <x:v>1</x:v>
      </x:c>
      <x:c r="C2">
        <x:v>1</x:v>
      </x:c>
      <x:c r="D2">
        <x:v>1</x:v>
      </x:c>
      <x:c r="E2" t="s">
        <x:v>334</x:v>
      </x:c>
      <x:c r="F2">
        <x:v>32</x:v>
      </x:c>
      <x:c r="G2">
        <x:v>20</x:v>
      </x:c>
      <x:c r="H2">
        <x:v>200</x:v>
      </x:c>
      <x:c r="I2" s="4">
        <x:v>46.0344894044465</x:v>
      </x:c>
      <x:c r="J2" s="4">
        <x:v>45.86536699935095</x:v>
      </x:c>
      <x:c r="K2" s="4">
        <x:v>48.09978469493217</x:v>
      </x:c>
      <x:c r="L2" s="4">
        <x:v>48.96911598167208</x:v>
      </x:c>
      <x:c r="M2" s="4">
        <x:v>1.657642504142132</x:v>
      </x:c>
      <x:c r="N2" s="7">
        <x:v>0.02527367882023654</x:v>
      </x:c>
      <x:c r="O2">
        <x:v>21.72284330590206</x:v>
      </x:c>
      <x:c r="P2">
        <x:v>941561856</x:v>
      </x:c>
      <x:c r="Q2">
        <x:v>1000341504</x:v>
      </x:c>
      <x:c r="R2" t="s">
        <x:v>119</x:v>
      </x:c>
      <x:c r="S2" s="5" t="s">
        <x:v>335</x:v>
      </x:c>
    </x:row>
    <x:row r="3">
      <x:c r="A3" t="s">
        <x:v>109</x:v>
      </x:c>
      <x:c r="B3">
        <x:v>2</x:v>
      </x:c>
      <x:c r="C3">
        <x:v>1</x:v>
      </x:c>
      <x:c r="D3">
        <x:v>2</x:v>
      </x:c>
      <x:c r="E3" t="s">
        <x:v>334</x:v>
      </x:c>
      <x:c r="F3">
        <x:v>32</x:v>
      </x:c>
      <x:c r="G3">
        <x:v>20</x:v>
      </x:c>
      <x:c r="H3">
        <x:v>200</x:v>
      </x:c>
      <x:c r="I3" s="4">
        <x:v>45.99070742962795</x:v>
      </x:c>
      <x:c r="J3" s="4">
        <x:v>45.77418549888534</x:v>
      </x:c>
      <x:c r="K3" s="4">
        <x:v>48.67640809934528</x:v>
      </x:c>
      <x:c r="L3" s="4">
        <x:v>49.42274372020619</x:v>
      </x:c>
      <x:c r="M3" s="4">
        <x:v>1.627604751774925</x:v>
      </x:c>
      <x:c r="N3" s="7">
        <x:v>0.02970807531214678</x:v>
      </x:c>
      <x:c r="O3">
        <x:v>21.74352289601408</x:v>
      </x:c>
      <x:c r="P3">
        <x:v>941561856</x:v>
      </x:c>
      <x:c r="Q3">
        <x:v>1000341504</x:v>
      </x:c>
      <x:c r="R3" t="s">
        <x:v>119</x:v>
      </x:c>
      <x:c r="S3" s="5" t="s">
        <x:v>335</x:v>
      </x:c>
    </x:row>
    <x:row r="4">
      <x:c r="A4" t="s">
        <x:v>109</x:v>
      </x:c>
      <x:c r="B4">
        <x:v>3</x:v>
      </x:c>
      <x:c r="C4">
        <x:v>1</x:v>
      </x:c>
      <x:c r="D4">
        <x:v>3</x:v>
      </x:c>
      <x:c r="E4" t="s">
        <x:v>334</x:v>
      </x:c>
      <x:c r="F4">
        <x:v>32</x:v>
      </x:c>
      <x:c r="G4">
        <x:v>20</x:v>
      </x:c>
      <x:c r="H4">
        <x:v>200</x:v>
      </x:c>
      <x:c r="I4" s="4">
        <x:v>46.04127945516666</x:v>
      </x:c>
      <x:c r="J4" s="4">
        <x:v>45.76235649801674</x:v>
      </x:c>
      <x:c r="K4" s="4">
        <x:v>48.64012205071049</x:v>
      </x:c>
      <x:c r="L4" s="4">
        <x:v>49.34069774593809</x:v>
      </x:c>
      <x:c r="M4" s="4">
        <x:v>1.662179998675128</x:v>
      </x:c>
      <x:c r="N4" s="7">
        <x:v>0.02868548719468954</x:v>
      </x:c>
      <x:c r="O4">
        <x:v>21.71963967625539</x:v>
      </x:c>
      <x:c r="P4">
        <x:v>941561856</x:v>
      </x:c>
      <x:c r="Q4">
        <x:v>1000341504</x:v>
      </x:c>
      <x:c r="R4" t="s">
        <x:v>119</x:v>
      </x:c>
      <x:c r="S4" s="5" t="s">
        <x:v>335</x:v>
      </x:c>
    </x:row>
    <x:row r="5">
      <x:c r="A5" t="s">
        <x:v>122</x:v>
      </x:c>
      <x:c r="B5">
        <x:v>1</x:v>
      </x:c>
      <x:c r="C5">
        <x:v>1</x:v>
      </x:c>
      <x:c r="D5">
        <x:v>1</x:v>
      </x:c>
      <x:c r="E5" t="s">
        <x:v>334</x:v>
      </x:c>
      <x:c r="F5">
        <x:v>32</x:v>
      </x:c>
      <x:c r="G5">
        <x:v>20</x:v>
      </x:c>
      <x:c r="H5">
        <x:v>200</x:v>
      </x:c>
      <x:c r="I5" s="4">
        <x:v>25.69138671013206</x:v>
      </x:c>
      <x:c r="J5" s="4">
        <x:v>25.51087249958073</x:v>
      </x:c>
      <x:c r="K5" s="4">
        <x:v>27.93518299840798</x:v>
      </x:c>
      <x:c r="L5" s="4">
        <x:v>29.05236058584705</x:v>
      </x:c>
      <x:c r="M5" s="4">
        <x:v>1.425096746970667</x:v>
      </x:c>
      <x:c r="N5" s="7">
        <x:v>0.04456093319552127</x:v>
      </x:c>
      <x:c r="O5">
        <x:v>38.92355096603735</x:v>
      </x:c>
      <x:c r="P5">
        <x:v>941561856</x:v>
      </x:c>
      <x:c r="Q5">
        <x:v>1000341504</x:v>
      </x:c>
      <x:c r="R5" t="s">
        <x:v>129</x:v>
      </x:c>
      <x:c r="S5" s="5" t="s">
        <x:v>335</x:v>
      </x:c>
    </x:row>
    <x:row r="6">
      <x:c r="A6" t="s">
        <x:v>122</x:v>
      </x:c>
      <x:c r="B6">
        <x:v>2</x:v>
      </x:c>
      <x:c r="C6">
        <x:v>1</x:v>
      </x:c>
      <x:c r="D6">
        <x:v>2</x:v>
      </x:c>
      <x:c r="E6" t="s">
        <x:v>334</x:v>
      </x:c>
      <x:c r="F6">
        <x:v>32</x:v>
      </x:c>
      <x:c r="G6">
        <x:v>20</x:v>
      </x:c>
      <x:c r="H6">
        <x:v>200</x:v>
      </x:c>
      <x:c r="I6" s="4">
        <x:v>26.66479708976112</x:v>
      </x:c>
      <x:c r="J6" s="4">
        <x:v>26.78608849964803</x:v>
      </x:c>
      <x:c r="K6" s="4">
        <x:v>28.28812274419761</x:v>
      </x:c>
      <x:c r="L6" s="4">
        <x:v>30.43728158292651</x:v>
      </x:c>
      <x:c r="M6" s="4">
        <x:v>1.743325505231041</x:v>
      </x:c>
      <x:c r="N6" s="7">
        <x:v>0.05441074885307341</x:v>
      </x:c>
      <x:c r="O6">
        <x:v>37.50262927685974</x:v>
      </x:c>
      <x:c r="P6">
        <x:v>941561856</x:v>
      </x:c>
      <x:c r="Q6">
        <x:v>1000341504</x:v>
      </x:c>
      <x:c r="R6" t="s">
        <x:v>129</x:v>
      </x:c>
      <x:c r="S6" s="5" t="s">
        <x:v>335</x:v>
      </x:c>
    </x:row>
    <x:row r="7">
      <x:c r="A7" t="s">
        <x:v>122</x:v>
      </x:c>
      <x:c r="B7">
        <x:v>3</x:v>
      </x:c>
      <x:c r="C7">
        <x:v>1</x:v>
      </x:c>
      <x:c r="D7">
        <x:v>3</x:v>
      </x:c>
      <x:c r="E7" t="s">
        <x:v>334</x:v>
      </x:c>
      <x:c r="F7">
        <x:v>32</x:v>
      </x:c>
      <x:c r="G7">
        <x:v>20</x:v>
      </x:c>
      <x:c r="H7">
        <x:v>200</x:v>
      </x:c>
      <x:c r="I7" s="4">
        <x:v>25.7630138402601</x:v>
      </x:c>
      <x:c r="J7" s="4">
        <x:v>25.4791785046109</x:v>
      </x:c>
      <x:c r="K7" s="4">
        <x:v>28.1511956036411</x:v>
      </x:c>
      <x:c r="L7" s="4">
        <x:v>30.27444630635727</x:v>
      </x:c>
      <x:c r="M7" s="4">
        <x:v>0.9582774982845876</x:v>
      </x:c>
      <x:c r="N7" s="7">
        <x:v>0.04505843499754293</x:v>
      </x:c>
      <x:c r="O7">
        <x:v>38.81533450241333</x:v>
      </x:c>
      <x:c r="P7">
        <x:v>941561856</x:v>
      </x:c>
      <x:c r="Q7">
        <x:v>1000341504</x:v>
      </x:c>
      <x:c r="R7" t="s">
        <x:v>129</x:v>
      </x:c>
      <x:c r="S7" s="5" t="s">
        <x:v>335</x:v>
      </x:c>
    </x:row>
    <x:row r="8">
      <x:c r="A8" t="s">
        <x:v>131</x:v>
      </x:c>
      <x:c r="B8">
        <x:v>1</x:v>
      </x:c>
      <x:c r="C8">
        <x:v>1</x:v>
      </x:c>
      <x:c r="D8">
        <x:v>1</x:v>
      </x:c>
      <x:c r="E8" t="s">
        <x:v>334</x:v>
      </x:c>
      <x:c r="F8">
        <x:v>32</x:v>
      </x:c>
      <x:c r="G8">
        <x:v>20</x:v>
      </x:c>
      <x:c r="H8">
        <x:v>200</x:v>
      </x:c>
      <x:c r="I8" s="4">
        <x:v>25.29866738466808</x:v>
      </x:c>
      <x:c r="J8" s="4">
        <x:v>25.11864050029544</x:v>
      </x:c>
      <x:c r="K8" s="4">
        <x:v>26.90240144838754</x:v>
      </x:c>
      <x:c r="L8" s="4">
        <x:v>27.59937002068909</x:v>
      </x:c>
      <x:c r="M8" s="4">
        <x:v>0.9922687531798147</x:v>
      </x:c>
      <x:c r="N8" s="7">
        <x:v>0.03547827860996634</x:v>
      </x:c>
      <x:c r="O8">
        <x:v>39.52777372795678</x:v>
      </x:c>
      <x:c r="P8">
        <x:v>941561856</x:v>
      </x:c>
      <x:c r="Q8">
        <x:v>1000341504</x:v>
      </x:c>
      <x:c r="R8" t="s">
        <x:v>137</x:v>
      </x:c>
      <x:c r="S8" s="5" t="s">
        <x:v>335</x:v>
      </x:c>
    </x:row>
    <x:row r="9">
      <x:c r="A9" t="s">
        <x:v>131</x:v>
      </x:c>
      <x:c r="B9">
        <x:v>2</x:v>
      </x:c>
      <x:c r="C9">
        <x:v>1</x:v>
      </x:c>
      <x:c r="D9">
        <x:v>2</x:v>
      </x:c>
      <x:c r="E9" t="s">
        <x:v>334</x:v>
      </x:c>
      <x:c r="F9">
        <x:v>32</x:v>
      </x:c>
      <x:c r="G9">
        <x:v>20</x:v>
      </x:c>
      <x:c r="H9">
        <x:v>200</x:v>
      </x:c>
      <x:c r="I9" s="4">
        <x:v>26.30534266987524</x:v>
      </x:c>
      <x:c r="J9" s="4">
        <x:v>26.1370039988833</x:v>
      </x:c>
      <x:c r="K9" s="4">
        <x:v>28.73463655014348</x:v>
      </x:c>
      <x:c r="L9" s="4">
        <x:v>30.85342683916678</x:v>
      </x:c>
      <x:c r="M9" s="4">
        <x:v>1.968034252058715</x:v>
      </x:c>
      <x:c r="N9" s="7">
        <x:v>0.05323894627205675</x:v>
      </x:c>
      <x:c r="O9">
        <x:v>38.01509117557306</x:v>
      </x:c>
      <x:c r="P9">
        <x:v>941561856</x:v>
      </x:c>
      <x:c r="Q9">
        <x:v>1000341504</x:v>
      </x:c>
      <x:c r="R9" t="s">
        <x:v>137</x:v>
      </x:c>
      <x:c r="S9" s="5" t="s">
        <x:v>335</x:v>
      </x:c>
    </x:row>
    <x:row r="10">
      <x:c r="A10" t="s">
        <x:v>131</x:v>
      </x:c>
      <x:c r="B10">
        <x:v>3</x:v>
      </x:c>
      <x:c r="C10">
        <x:v>1</x:v>
      </x:c>
      <x:c r="D10">
        <x:v>3</x:v>
      </x:c>
      <x:c r="E10" t="s">
        <x:v>334</x:v>
      </x:c>
      <x:c r="F10">
        <x:v>32</x:v>
      </x:c>
      <x:c r="G10">
        <x:v>20</x:v>
      </x:c>
      <x:c r="H10">
        <x:v>200</x:v>
      </x:c>
      <x:c r="I10" s="4">
        <x:v>25.48377473500295</x:v>
      </x:c>
      <x:c r="J10" s="4">
        <x:v>25.15864749875618</x:v>
      </x:c>
      <x:c r="K10" s="4">
        <x:v>27.78762464877218</x:v>
      </x:c>
      <x:c r="L10" s="4">
        <x:v>28.42212251096498</x:v>
      </x:c>
      <x:c r="M10" s="4">
        <x:v>1.232151998920017</x:v>
      </x:c>
      <x:c r="N10" s="7">
        <x:v>0.04304447378233704</x:v>
      </x:c>
      <x:c r="O10">
        <x:v>39.24065451051336</x:v>
      </x:c>
      <x:c r="P10">
        <x:v>941561856</x:v>
      </x:c>
      <x:c r="Q10">
        <x:v>1000341504</x:v>
      </x:c>
      <x:c r="R10" t="s">
        <x:v>137</x:v>
      </x:c>
      <x:c r="S10" s="5" t="s">
        <x:v>335</x:v>
      </x:c>
    </x:row>
    <x:row r="11">
      <x:c r="A11" t="s">
        <x:v>146</x:v>
      </x:c>
      <x:c r="B11">
        <x:v>1</x:v>
      </x:c>
      <x:c r="C11">
        <x:v>1</x:v>
      </x:c>
      <x:c r="D11">
        <x:v>1</x:v>
      </x:c>
      <x:c r="E11" t="s">
        <x:v>334</x:v>
      </x:c>
      <x:c r="F11">
        <x:v>32</x:v>
      </x:c>
      <x:c r="G11">
        <x:v>20</x:v>
      </x:c>
      <x:c r="H11">
        <x:v>200</x:v>
      </x:c>
      <x:c r="I11" s="4">
        <x:v>25.63660784526292</x:v>
      </x:c>
      <x:c r="J11" s="4">
        <x:v>25.3719229986018</x:v>
      </x:c>
      <x:c r="K11" s="4">
        <x:v>27.50122624493088</x:v>
      </x:c>
      <x:c r="L11" s="4">
        <x:v>28.20199628695264</x:v>
      </x:c>
      <x:c r="M11" s="4">
        <x:v>1.421292505256133</x:v>
      </x:c>
      <x:c r="N11" s="7">
        <x:v>0.03978989089312616</x:v>
      </x:c>
      <x:c r="O11">
        <x:v>39.00672062527875</x:v>
      </x:c>
      <x:c r="P11">
        <x:v>941561856</x:v>
      </x:c>
      <x:c r="Q11">
        <x:v>1000341504</x:v>
      </x:c>
      <x:c r="R11" t="s">
        <x:v>152</x:v>
      </x:c>
      <x:c r="S11" s="5" t="s">
        <x:v>335</x:v>
      </x:c>
    </x:row>
    <x:row r="12">
      <x:c r="A12" t="s">
        <x:v>146</x:v>
      </x:c>
      <x:c r="B12">
        <x:v>2</x:v>
      </x:c>
      <x:c r="C12">
        <x:v>1</x:v>
      </x:c>
      <x:c r="D12">
        <x:v>2</x:v>
      </x:c>
      <x:c r="E12" t="s">
        <x:v>334</x:v>
      </x:c>
      <x:c r="F12">
        <x:v>32</x:v>
      </x:c>
      <x:c r="G12">
        <x:v>20</x:v>
      </x:c>
      <x:c r="H12">
        <x:v>200</x:v>
      </x:c>
      <x:c r="I12" s="4">
        <x:v>25.30889130008291</x:v>
      </x:c>
      <x:c r="J12" s="4">
        <x:v>25.16890999686439</x:v>
      </x:c>
      <x:c r="K12" s="4">
        <x:v>26.84432420137454</x:v>
      </x:c>
      <x:c r="L12" s="4">
        <x:v>27.58182853947801</x:v>
      </x:c>
      <x:c r="M12" s="4">
        <x:v>0.8846877517498797</x:v>
      </x:c>
      <x:c r="N12" s="7">
        <x:v>0.03059169095322694</x:v>
      </x:c>
      <x:c r="O12">
        <x:v>39.51180587656656</x:v>
      </x:c>
      <x:c r="P12">
        <x:v>941561856</x:v>
      </x:c>
      <x:c r="Q12">
        <x:v>1000341504</x:v>
      </x:c>
      <x:c r="R12" t="s">
        <x:v>152</x:v>
      </x:c>
      <x:c r="S12" s="5" t="s">
        <x:v>335</x:v>
      </x:c>
    </x:row>
    <x:row r="13">
      <x:c r="A13" t="s">
        <x:v>146</x:v>
      </x:c>
      <x:c r="B13">
        <x:v>3</x:v>
      </x:c>
      <x:c r="C13">
        <x:v>1</x:v>
      </x:c>
      <x:c r="D13">
        <x:v>3</x:v>
      </x:c>
      <x:c r="E13" t="s">
        <x:v>334</x:v>
      </x:c>
      <x:c r="F13">
        <x:v>32</x:v>
      </x:c>
      <x:c r="G13">
        <x:v>20</x:v>
      </x:c>
      <x:c r="H13">
        <x:v>200</x:v>
      </x:c>
      <x:c r="I13" s="4">
        <x:v>25.97051150962216</x:v>
      </x:c>
      <x:c r="J13" s="4">
        <x:v>25.65361950109946</x:v>
      </x:c>
      <x:c r="K13" s="4">
        <x:v>27.99715805194864</x:v>
      </x:c>
      <x:c r="L13" s="4">
        <x:v>28.46967560726625</x:v>
      </x:c>
      <x:c r="M13" s="4">
        <x:v>1.759294504154241</x:v>
      </x:c>
      <x:c r="N13" s="7">
        <x:v>0.0431917387930935</x:v>
      </x:c>
      <x:c r="O13">
        <x:v>38.50521001981408</x:v>
      </x:c>
      <x:c r="P13">
        <x:v>941561856</x:v>
      </x:c>
      <x:c r="Q13">
        <x:v>1000341504</x:v>
      </x:c>
      <x:c r="R13" t="s">
        <x:v>152</x:v>
      </x:c>
      <x:c r="S13" s="5" t="s">
        <x:v>335</x:v>
      </x:c>
    </x:row>
    <x:row r="14">
      <x:c r="A14" t="s">
        <x:v>154</x:v>
      </x:c>
      <x:c r="B14">
        <x:v>1</x:v>
      </x:c>
      <x:c r="C14">
        <x:v>1</x:v>
      </x:c>
      <x:c r="D14">
        <x:v>1</x:v>
      </x:c>
      <x:c r="E14" t="s">
        <x:v>334</x:v>
      </x:c>
      <x:c r="F14">
        <x:v>32</x:v>
      </x:c>
      <x:c r="G14">
        <x:v>20</x:v>
      </x:c>
      <x:c r="H14">
        <x:v>200</x:v>
      </x:c>
      <x:c r="I14" s="4">
        <x:v>25.74377000000823</x:v>
      </x:c>
      <x:c r="J14" s="4">
        <x:v>25.14567700200132</x:v>
      </x:c>
      <x:c r="K14" s="4">
        <x:v>28.50366400562052</x:v>
      </x:c>
      <x:c r="L14" s="4">
        <x:v>37.81206419000227</x:v>
      </x:c>
      <x:c r="M14" s="4">
        <x:v>1.952905502548674</x:v>
      </x:c>
      <x:c r="N14" s="7">
        <x:v>0.08446929850661691</x:v>
      </x:c>
      <x:c r="O14">
        <x:v>38.84434952610594</x:v>
      </x:c>
      <x:c r="P14">
        <x:v>941561856</x:v>
      </x:c>
      <x:c r="Q14">
        <x:v>1000341504</x:v>
      </x:c>
      <x:c r="R14" t="s">
        <x:v>158</x:v>
      </x:c>
      <x:c r="S14" s="5" t="s">
        <x:v>335</x:v>
      </x:c>
    </x:row>
    <x:row r="15">
      <x:c r="A15" t="s">
        <x:v>154</x:v>
      </x:c>
      <x:c r="B15">
        <x:v>2</x:v>
      </x:c>
      <x:c r="C15">
        <x:v>1</x:v>
      </x:c>
      <x:c r="D15">
        <x:v>2</x:v>
      </x:c>
      <x:c r="E15" t="s">
        <x:v>334</x:v>
      </x:c>
      <x:c r="F15">
        <x:v>32</x:v>
      </x:c>
      <x:c r="G15">
        <x:v>20</x:v>
      </x:c>
      <x:c r="H15">
        <x:v>200</x:v>
      </x:c>
      <x:c r="I15" s="4">
        <x:v>25.47602516027837</x:v>
      </x:c>
      <x:c r="J15" s="4">
        <x:v>25.21012199940742</x:v>
      </x:c>
      <x:c r="K15" s="4">
        <x:v>28.09033615048975</x:v>
      </x:c>
      <x:c r="L15" s="4">
        <x:v>28.38692466328211</x:v>
      </x:c>
      <x:c r="M15" s="4">
        <x:v>1.259672999367467</x:v>
      </x:c>
      <x:c r="N15" s="7">
        <x:v>0.04576274255134366</x:v>
      </x:c>
      <x:c r="O15">
        <x:v>39.2525911600675</x:v>
      </x:c>
      <x:c r="P15">
        <x:v>941561856</x:v>
      </x:c>
      <x:c r="Q15">
        <x:v>1000341504</x:v>
      </x:c>
      <x:c r="R15" t="s">
        <x:v>158</x:v>
      </x:c>
      <x:c r="S15" s="5" t="s">
        <x:v>335</x:v>
      </x:c>
    </x:row>
    <x:row r="16">
      <x:c r="A16" t="s">
        <x:v>154</x:v>
      </x:c>
      <x:c r="B16">
        <x:v>3</x:v>
      </x:c>
      <x:c r="C16">
        <x:v>1</x:v>
      </x:c>
      <x:c r="D16">
        <x:v>3</x:v>
      </x:c>
      <x:c r="E16" t="s">
        <x:v>334</x:v>
      </x:c>
      <x:c r="F16">
        <x:v>32</x:v>
      </x:c>
      <x:c r="G16">
        <x:v>20</x:v>
      </x:c>
      <x:c r="H16">
        <x:v>200</x:v>
      </x:c>
      <x:c r="I16" s="4">
        <x:v>25.66243354478502</x:v>
      </x:c>
      <x:c r="J16" s="4">
        <x:v>25.42276549866074</x:v>
      </x:c>
      <x:c r="K16" s="4">
        <x:v>27.74882555095246</x:v>
      </x:c>
      <x:c r="L16" s="4">
        <x:v>28.75173205698956</x:v>
      </x:c>
      <x:c r="M16" s="4">
        <x:v>1.785902997653466</x:v>
      </x:c>
      <x:c r="N16" s="7">
        <x:v>0.0472775133780028</x:v>
      </x:c>
      <x:c r="O16">
        <x:v>38.96746574150271</x:v>
      </x:c>
      <x:c r="P16">
        <x:v>941561856</x:v>
      </x:c>
      <x:c r="Q16">
        <x:v>1000341504</x:v>
      </x:c>
      <x:c r="R16" t="s">
        <x:v>158</x:v>
      </x:c>
      <x:c r="S16" s="5" t="s">
        <x:v>335</x:v>
      </x:c>
    </x:row>
    <x:row r="17">
      <x:c r="A17" t="s">
        <x:v>160</x:v>
      </x:c>
      <x:c r="B17">
        <x:v>1</x:v>
      </x:c>
      <x:c r="C17">
        <x:v>1</x:v>
      </x:c>
      <x:c r="D17">
        <x:v>1</x:v>
      </x:c>
      <x:c r="E17" t="s">
        <x:v>334</x:v>
      </x:c>
      <x:c r="F17">
        <x:v>32</x:v>
      </x:c>
      <x:c r="G17">
        <x:v>20</x:v>
      </x:c>
      <x:c r="H17">
        <x:v>200</x:v>
      </x:c>
      <x:c r="I17" s="4">
        <x:v>44.94487110005139</x:v>
      </x:c>
      <x:c r="J17" s="4">
        <x:v>44.88771649630507</x:v>
      </x:c>
      <x:c r="K17" s="4">
        <x:v>46.86551249978947</x:v>
      </x:c>
      <x:c r="L17" s="4">
        <x:v>48.21606067453104</x:v>
      </x:c>
      <x:c r="M17" s="4">
        <x:v>2.02892050583614</x:v>
      </x:c>
      <x:c r="N17" s="7">
        <x:v>0.02867006595251803</x:v>
      </x:c>
      <x:c r="O17">
        <x:v>22.24947976319498</x:v>
      </x:c>
      <x:c r="P17">
        <x:v>941561856</x:v>
      </x:c>
      <x:c r="Q17">
        <x:v>1000341504</x:v>
      </x:c>
      <x:c r="R17" t="s">
        <x:v>166</x:v>
      </x:c>
      <x:c r="S17" s="5" t="s">
        <x:v>335</x:v>
      </x:c>
    </x:row>
    <x:row r="18">
      <x:c r="A18" t="s">
        <x:v>160</x:v>
      </x:c>
      <x:c r="B18">
        <x:v>2</x:v>
      </x:c>
      <x:c r="C18">
        <x:v>1</x:v>
      </x:c>
      <x:c r="D18">
        <x:v>2</x:v>
      </x:c>
      <x:c r="E18" t="s">
        <x:v>334</x:v>
      </x:c>
      <x:c r="F18">
        <x:v>32</x:v>
      </x:c>
      <x:c r="G18">
        <x:v>20</x:v>
      </x:c>
      <x:c r="H18">
        <x:v>200</x:v>
      </x:c>
      <x:c r="I18" s="4">
        <x:v>44.91223885968793</x:v>
      </x:c>
      <x:c r="J18" s="4">
        <x:v>44.78546350219403</x:v>
      </x:c>
      <x:c r="K18" s="4">
        <x:v>47.20936909507145</x:v>
      </x:c>
      <x:c r="L18" s="4">
        <x:v>47.7658747012174</x:v>
      </x:c>
      <x:c r="M18" s="4">
        <x:v>1.90973274402495</x:v>
      </x:c>
      <x:c r="N18" s="7">
        <x:v>0.02809008894669859</x:v>
      </x:c>
      <x:c r="O18">
        <x:v>22.26564574356088</x:v>
      </x:c>
      <x:c r="P18">
        <x:v>941561856</x:v>
      </x:c>
      <x:c r="Q18">
        <x:v>1000341504</x:v>
      </x:c>
      <x:c r="R18" t="s">
        <x:v>166</x:v>
      </x:c>
      <x:c r="S18" s="5" t="s">
        <x:v>335</x:v>
      </x:c>
    </x:row>
    <x:row r="19">
      <x:c r="A19" t="s">
        <x:v>160</x:v>
      </x:c>
      <x:c r="B19">
        <x:v>3</x:v>
      </x:c>
      <x:c r="C19">
        <x:v>1</x:v>
      </x:c>
      <x:c r="D19">
        <x:v>3</x:v>
      </x:c>
      <x:c r="E19" t="s">
        <x:v>334</x:v>
      </x:c>
      <x:c r="F19">
        <x:v>32</x:v>
      </x:c>
      <x:c r="G19">
        <x:v>20</x:v>
      </x:c>
      <x:c r="H19">
        <x:v>200</x:v>
      </x:c>
      <x:c r="I19" s="4">
        <x:v>44.17432209447725</x:v>
      </x:c>
      <x:c r="J19" s="4">
        <x:v>43.94285649686935</x:v>
      </x:c>
      <x:c r="K19" s="4">
        <x:v>46.53375254529237</x:v>
      </x:c>
      <x:c r="L19" s="4">
        <x:v>47.26937744839233</x:v>
      </x:c>
      <x:c r="M19" s="4">
        <x:v>1.456366753700422</x:v>
      </x:c>
      <x:c r="N19" s="7">
        <x:v>0.02728049123503219</x:v>
      </x:c>
      <x:c r="O19">
        <x:v>22.63758565125828</x:v>
      </x:c>
      <x:c r="P19">
        <x:v>941561856</x:v>
      </x:c>
      <x:c r="Q19">
        <x:v>1000341504</x:v>
      </x:c>
      <x:c r="R19" t="s">
        <x:v>166</x:v>
      </x:c>
      <x:c r="S19" s="5" t="s">
        <x:v>335</x:v>
      </x:c>
    </x:row>
    <x:row r="20">
      <x:c r="A20" t="s">
        <x:v>168</x:v>
      </x:c>
      <x:c r="B20">
        <x:v>1</x:v>
      </x:c>
      <x:c r="C20">
        <x:v>1</x:v>
      </x:c>
      <x:c r="D20">
        <x:v>1</x:v>
      </x:c>
      <x:c r="E20" t="s">
        <x:v>334</x:v>
      </x:c>
      <x:c r="F20">
        <x:v>32</x:v>
      </x:c>
      <x:c r="G20">
        <x:v>20</x:v>
      </x:c>
      <x:c r="H20">
        <x:v>200</x:v>
      </x:c>
      <x:c r="I20" s="4">
        <x:v>43.03896991990769</x:v>
      </x:c>
      <x:c r="J20" s="4">
        <x:v>42.77670200099237</x:v>
      </x:c>
      <x:c r="K20" s="4">
        <x:v>45.1640975457849</x:v>
      </x:c>
      <x:c r="L20" s="4">
        <x:v>45.97954993085295</x:v>
      </x:c>
      <x:c r="M20" s="4">
        <x:v>1.106106752558844</x:v>
      </x:c>
      <x:c r="N20" s="7">
        <x:v>0.02343223589160797</x:v>
      </x:c>
      <x:c r="O20">
        <x:v>23.23475682296592</x:v>
      </x:c>
      <x:c r="P20">
        <x:v>941561856</x:v>
      </x:c>
      <x:c r="Q20">
        <x:v>1000341504</x:v>
      </x:c>
      <x:c r="R20" t="s">
        <x:v>172</x:v>
      </x:c>
      <x:c r="S20" s="5" t="s">
        <x:v>335</x:v>
      </x:c>
    </x:row>
    <x:row r="21">
      <x:c r="A21" t="s">
        <x:v>168</x:v>
      </x:c>
      <x:c r="B21">
        <x:v>2</x:v>
      </x:c>
      <x:c r="C21">
        <x:v>1</x:v>
      </x:c>
      <x:c r="D21">
        <x:v>2</x:v>
      </x:c>
      <x:c r="E21" t="s">
        <x:v>334</x:v>
      </x:c>
      <x:c r="F21">
        <x:v>32</x:v>
      </x:c>
      <x:c r="G21">
        <x:v>20</x:v>
      </x:c>
      <x:c r="H21">
        <x:v>200</x:v>
      </x:c>
      <x:c r="I21" s="4">
        <x:v>43.4255128201039</x:v>
      </x:c>
      <x:c r="J21" s="4">
        <x:v>43.21196299861185</x:v>
      </x:c>
      <x:c r="K21" s="4">
        <x:v>45.41023835299711</x:v>
      </x:c>
      <x:c r="L21" s="4">
        <x:v>46.09750341558538</x:v>
      </x:c>
      <x:c r="M21" s="4">
        <x:v>1.165484747616574</x:v>
      </x:c>
      <x:c r="N21" s="7">
        <x:v>0.02301917785837396</x:v>
      </x:c>
      <x:c r="O21">
        <x:v>23.02793761221971</x:v>
      </x:c>
      <x:c r="P21">
        <x:v>941561856</x:v>
      </x:c>
      <x:c r="Q21">
        <x:v>1000341504</x:v>
      </x:c>
      <x:c r="R21" t="s">
        <x:v>172</x:v>
      </x:c>
      <x:c r="S21" s="5" t="s">
        <x:v>335</x:v>
      </x:c>
    </x:row>
    <x:row r="22">
      <x:c r="A22" t="s">
        <x:v>168</x:v>
      </x:c>
      <x:c r="B22">
        <x:v>3</x:v>
      </x:c>
      <x:c r="C22">
        <x:v>1</x:v>
      </x:c>
      <x:c r="D22">
        <x:v>3</x:v>
      </x:c>
      <x:c r="E22" t="s">
        <x:v>334</x:v>
      </x:c>
      <x:c r="F22">
        <x:v>32</x:v>
      </x:c>
      <x:c r="G22">
        <x:v>20</x:v>
      </x:c>
      <x:c r="H22">
        <x:v>200</x:v>
      </x:c>
      <x:c r="I22" s="4">
        <x:v>42.86413266509044</x:v>
      </x:c>
      <x:c r="J22" s="4">
        <x:v>42.82588899877737</x:v>
      </x:c>
      <x:c r="K22" s="4">
        <x:v>44.38225725498341</x:v>
      </x:c>
      <x:c r="L22" s="4">
        <x:v>44.89675652970618</x:v>
      </x:c>
      <x:c r="M22" s="4">
        <x:v>1.144360752732609</x:v>
      </x:c>
      <x:c r="N22" s="7">
        <x:v>0.01997197416868352</x:v>
      </x:c>
      <x:c r="O22">
        <x:v>23.32952839179745</x:v>
      </x:c>
      <x:c r="P22">
        <x:v>941561856</x:v>
      </x:c>
      <x:c r="Q22">
        <x:v>1000341504</x:v>
      </x:c>
      <x:c r="R22" t="s">
        <x:v>172</x:v>
      </x:c>
      <x:c r="S22" s="5" t="s">
        <x:v>335</x:v>
      </x:c>
    </x:row>
    <x:row r="23">
      <x:c r="A23" t="s">
        <x:v>176</x:v>
      </x:c>
      <x:c r="B23">
        <x:v>1</x:v>
      </x:c>
      <x:c r="C23">
        <x:v>1</x:v>
      </x:c>
      <x:c r="D23">
        <x:v>1</x:v>
      </x:c>
      <x:c r="E23" t="s">
        <x:v>334</x:v>
      </x:c>
      <x:c r="F23">
        <x:v>32</x:v>
      </x:c>
      <x:c r="G23">
        <x:v>20</x:v>
      </x:c>
      <x:c r="H23">
        <x:v>200</x:v>
      </x:c>
      <x:c r="I23" s="4">
        <x:v>46.13614516980306</x:v>
      </x:c>
      <x:c r="J23" s="4">
        <x:v>46.06487750061206</x:v>
      </x:c>
      <x:c r="K23" s="4">
        <x:v>48.09166690502025</x:v>
      </x:c>
      <x:c r="L23" s="4">
        <x:v>49.0927891501633</x:v>
      </x:c>
      <x:c r="M23" s="4">
        <x:v>1.548978001665091</x:v>
      </x:c>
      <x:c r="N23" s="7">
        <x:v>0.02539143208976384</x:v>
      </x:c>
      <x:c r="O23">
        <x:v>21.67497948342936</x:v>
      </x:c>
      <x:c r="P23">
        <x:v>941561856</x:v>
      </x:c>
      <x:c r="Q23">
        <x:v>1000341504</x:v>
      </x:c>
      <x:c r="R23" t="s">
        <x:v>180</x:v>
      </x:c>
      <x:c r="S23" s="5" t="s">
        <x:v>335</x:v>
      </x:c>
    </x:row>
    <x:row r="24">
      <x:c r="A24" t="s">
        <x:v>176</x:v>
      </x:c>
      <x:c r="B24">
        <x:v>2</x:v>
      </x:c>
      <x:c r="C24">
        <x:v>1</x:v>
      </x:c>
      <x:c r="D24">
        <x:v>2</x:v>
      </x:c>
      <x:c r="E24" t="s">
        <x:v>334</x:v>
      </x:c>
      <x:c r="F24">
        <x:v>32</x:v>
      </x:c>
      <x:c r="G24">
        <x:v>20</x:v>
      </x:c>
      <x:c r="H24">
        <x:v>200</x:v>
      </x:c>
      <x:c r="I24" s="4">
        <x:v>45.72785710995959</x:v>
      </x:c>
      <x:c r="J24" s="4">
        <x:v>45.61638949599001</x:v>
      </x:c>
      <x:c r="K24" s="4">
        <x:v>47.48909954614646</x:v>
      </x:c>
      <x:c r="L24" s="4">
        <x:v>48.47985192594933</x:v>
      </x:c>
      <x:c r="M24" s="4">
        <x:v>1.23305499801063</x:v>
      </x:c>
      <x:c r="N24" s="7">
        <x:v>0.02221489744472515</x:v>
      </x:c>
      <x:c r="O24">
        <x:v>21.86850780248346</x:v>
      </x:c>
      <x:c r="P24">
        <x:v>941561856</x:v>
      </x:c>
      <x:c r="Q24">
        <x:v>1000341504</x:v>
      </x:c>
      <x:c r="R24" t="s">
        <x:v>180</x:v>
      </x:c>
      <x:c r="S24" s="5" t="s">
        <x:v>335</x:v>
      </x:c>
    </x:row>
    <x:row r="25">
      <x:c r="A25" t="s">
        <x:v>176</x:v>
      </x:c>
      <x:c r="B25">
        <x:v>3</x:v>
      </x:c>
      <x:c r="C25">
        <x:v>1</x:v>
      </x:c>
      <x:c r="D25">
        <x:v>3</x:v>
      </x:c>
      <x:c r="E25" t="s">
        <x:v>334</x:v>
      </x:c>
      <x:c r="F25">
        <x:v>32</x:v>
      </x:c>
      <x:c r="G25">
        <x:v>20</x:v>
      </x:c>
      <x:c r="H25">
        <x:v>200</x:v>
      </x:c>
      <x:c r="I25" s="4">
        <x:v>45.8059498050352</x:v>
      </x:c>
      <x:c r="J25" s="4">
        <x:v>45.5948039998475</x:v>
      </x:c>
      <x:c r="K25" s="4">
        <x:v>48.16715639717586</x:v>
      </x:c>
      <x:c r="L25" s="4">
        <x:v>48.8723391455278</x:v>
      </x:c>
      <x:c r="M25" s="4">
        <x:v>1.835493749240413</x:v>
      </x:c>
      <x:c r="N25" s="7">
        <x:v>0.02782180073509962</x:v>
      </x:c>
      <x:c r="O25">
        <x:v>21.83122507570131</x:v>
      </x:c>
      <x:c r="P25">
        <x:v>941561856</x:v>
      </x:c>
      <x:c r="Q25">
        <x:v>1000341504</x:v>
      </x:c>
      <x:c r="R25" t="s">
        <x:v>180</x:v>
      </x:c>
      <x:c r="S25" s="5" t="s">
        <x:v>335</x:v>
      </x:c>
    </x:row>
    <x:row r="26">
      <x:c r="A26" t="s">
        <x:v>182</x:v>
      </x:c>
      <x:c r="B26">
        <x:v>1</x:v>
      </x:c>
      <x:c r="C26">
        <x:v>1</x:v>
      </x:c>
      <x:c r="D26">
        <x:v>1</x:v>
      </x:c>
      <x:c r="E26" t="s">
        <x:v>334</x:v>
      </x:c>
      <x:c r="F26">
        <x:v>32</x:v>
      </x:c>
      <x:c r="G26">
        <x:v>20</x:v>
      </x:c>
      <x:c r="H26">
        <x:v>200</x:v>
      </x:c>
      <x:c r="I26" s="4">
        <x:v>25.40389592511929</x:v>
      </x:c>
      <x:c r="J26" s="4">
        <x:v>25.12693950120592</x:v>
      </x:c>
      <x:c r="K26" s="4">
        <x:v>27.34084410476498</x:v>
      </x:c>
      <x:c r="L26" s="4">
        <x:v>27.62387788512569</x:v>
      </x:c>
      <x:c r="M26" s="4">
        <x:v>1.68411649610789</x:v>
      </x:c>
      <x:c r="N26" s="7">
        <x:v>0.04361516256284691</x:v>
      </x:c>
      <x:c r="O26">
        <x:v>39.36404097023573</x:v>
      </x:c>
      <x:c r="P26">
        <x:v>941561856</x:v>
      </x:c>
      <x:c r="Q26">
        <x:v>1000341504</x:v>
      </x:c>
      <x:c r="R26" t="s">
        <x:v>188</x:v>
      </x:c>
      <x:c r="S26" s="5" t="s">
        <x:v>335</x:v>
      </x:c>
    </x:row>
    <x:row r="27">
      <x:c r="A27" t="s">
        <x:v>182</x:v>
      </x:c>
      <x:c r="B27">
        <x:v>2</x:v>
      </x:c>
      <x:c r="C27">
        <x:v>1</x:v>
      </x:c>
      <x:c r="D27">
        <x:v>2</x:v>
      </x:c>
      <x:c r="E27" t="s">
        <x:v>334</x:v>
      </x:c>
      <x:c r="F27">
        <x:v>32</x:v>
      </x:c>
      <x:c r="G27">
        <x:v>20</x:v>
      </x:c>
      <x:c r="H27">
        <x:v>200</x:v>
      </x:c>
      <x:c r="I27" s="4">
        <x:v>25.07744679973257</x:v>
      </x:c>
      <x:c r="J27" s="4">
        <x:v>24.9038269976154</x:v>
      </x:c>
      <x:c r="K27" s="4">
        <x:v>26.54747205087915</x:v>
      </x:c>
      <x:c r="L27" s="4">
        <x:v>27.83942706519155</x:v>
      </x:c>
      <x:c r="M27" s="4">
        <x:v>0.8742884983803378</x:v>
      </x:c>
      <x:c r="N27" s="7">
        <x:v>0.03507694786772426</x:v>
      </x:c>
      <x:c r="O27">
        <x:v>39.87646780734728</x:v>
      </x:c>
      <x:c r="P27">
        <x:v>941561856</x:v>
      </x:c>
      <x:c r="Q27">
        <x:v>1000341504</x:v>
      </x:c>
      <x:c r="R27" t="s">
        <x:v>188</x:v>
      </x:c>
      <x:c r="S27" s="5" t="s">
        <x:v>335</x:v>
      </x:c>
    </x:row>
    <x:row r="28">
      <x:c r="A28" t="s">
        <x:v>182</x:v>
      </x:c>
      <x:c r="B28">
        <x:v>3</x:v>
      </x:c>
      <x:c r="C28">
        <x:v>1</x:v>
      </x:c>
      <x:c r="D28">
        <x:v>3</x:v>
      </x:c>
      <x:c r="E28" t="s">
        <x:v>334</x:v>
      </x:c>
      <x:c r="F28">
        <x:v>32</x:v>
      </x:c>
      <x:c r="G28">
        <x:v>20</x:v>
      </x:c>
      <x:c r="H28">
        <x:v>200</x:v>
      </x:c>
      <x:c r="I28" s="4">
        <x:v>26.18342042995209</x:v>
      </x:c>
      <x:c r="J28" s="4">
        <x:v>26.28336850102642</x:v>
      </x:c>
      <x:c r="K28" s="4">
        <x:v>27.75356469974213</x:v>
      </x:c>
      <x:c r="L28" s="4">
        <x:v>28.43606087772059</x:v>
      </x:c>
      <x:c r="M28" s="4">
        <x:v>1.634237003599992</x:v>
      </x:c>
      <x:c r="N28" s="7">
        <x:v>0.04028892695407128</x:v>
      </x:c>
      <x:c r="O28">
        <x:v>38.1921072029255</x:v>
      </x:c>
      <x:c r="P28">
        <x:v>941561856</x:v>
      </x:c>
      <x:c r="Q28">
        <x:v>1000341504</x:v>
      </x:c>
      <x:c r="R28" t="s">
        <x:v>188</x:v>
      </x:c>
      <x:c r="S28" s="5" t="s">
        <x:v>335</x:v>
      </x:c>
    </x:row>
    <x:row r="29">
      <x:c r="A29" t="s">
        <x:v>190</x:v>
      </x:c>
      <x:c r="B29">
        <x:v>1</x:v>
      </x:c>
      <x:c r="C29">
        <x:v>1</x:v>
      </x:c>
      <x:c r="D29">
        <x:v>1</x:v>
      </x:c>
      <x:c r="E29" t="s">
        <x:v>334</x:v>
      </x:c>
      <x:c r="F29">
        <x:v>32</x:v>
      </x:c>
      <x:c r="G29">
        <x:v>20</x:v>
      </x:c>
      <x:c r="H29">
        <x:v>200</x:v>
      </x:c>
      <x:c r="I29" s="4">
        <x:v>26.13638861523214</x:v>
      </x:c>
      <x:c r="J29" s="4">
        <x:v>26.37079200212611</x:v>
      </x:c>
      <x:c r="K29" s="4">
        <x:v>27.4976800497825</x:v>
      </x:c>
      <x:c r="L29" s="4">
        <x:v>28.31430175720016</x:v>
      </x:c>
      <x:c r="M29" s="4">
        <x:v>1.398978500219528</x:v>
      </x:c>
      <x:c r="N29" s="7">
        <x:v>0.03827829136202685</x:v>
      </x:c>
      <x:c r="O29">
        <x:v>38.26083299883312</x:v>
      </x:c>
      <x:c r="P29">
        <x:v>941561856</x:v>
      </x:c>
      <x:c r="Q29">
        <x:v>1000341504</x:v>
      </x:c>
      <x:c r="R29" t="s">
        <x:v>194</x:v>
      </x:c>
      <x:c r="S29" s="5" t="s">
        <x:v>335</x:v>
      </x:c>
    </x:row>
    <x:row r="30">
      <x:c r="A30" t="s">
        <x:v>190</x:v>
      </x:c>
      <x:c r="B30">
        <x:v>2</x:v>
      </x:c>
      <x:c r="C30">
        <x:v>1</x:v>
      </x:c>
      <x:c r="D30">
        <x:v>2</x:v>
      </x:c>
      <x:c r="E30" t="s">
        <x:v>334</x:v>
      </x:c>
      <x:c r="F30">
        <x:v>32</x:v>
      </x:c>
      <x:c r="G30">
        <x:v>20</x:v>
      </x:c>
      <x:c r="H30">
        <x:v>200</x:v>
      </x:c>
      <x:c r="I30" s="4">
        <x:v>25.96697777971713</x:v>
      </x:c>
      <x:c r="J30" s="4">
        <x:v>26.09689199744025</x:v>
      </x:c>
      <x:c r="K30" s="4">
        <x:v>27.24489640204411</x:v>
      </x:c>
      <x:c r="L30" s="4">
        <x:v>27.94653781667876</x:v>
      </x:c>
      <x:c r="M30" s="4">
        <x:v>1.260157501747017</x:v>
      </x:c>
      <x:c r="N30" s="7">
        <x:v>0.03735642318755897</x:v>
      </x:c>
      <x:c r="O30">
        <x:v>38.51045002168495</x:v>
      </x:c>
      <x:c r="P30">
        <x:v>941561856</x:v>
      </x:c>
      <x:c r="Q30">
        <x:v>1000341504</x:v>
      </x:c>
      <x:c r="R30" t="s">
        <x:v>194</x:v>
      </x:c>
      <x:c r="S30" s="5" t="s">
        <x:v>335</x:v>
      </x:c>
    </x:row>
    <x:row r="31">
      <x:c r="A31" t="s">
        <x:v>190</x:v>
      </x:c>
      <x:c r="B31">
        <x:v>3</x:v>
      </x:c>
      <x:c r="C31">
        <x:v>1</x:v>
      </x:c>
      <x:c r="D31">
        <x:v>3</x:v>
      </x:c>
      <x:c r="E31" t="s">
        <x:v>334</x:v>
      </x:c>
      <x:c r="F31">
        <x:v>32</x:v>
      </x:c>
      <x:c r="G31">
        <x:v>20</x:v>
      </x:c>
      <x:c r="H31">
        <x:v>200</x:v>
      </x:c>
      <x:c r="I31" s="4">
        <x:v>25.89996900955157</x:v>
      </x:c>
      <x:c r="J31" s="4">
        <x:v>25.93121999962023</x:v>
      </x:c>
      <x:c r="K31" s="4">
        <x:v>27.39975664771919</x:v>
      </x:c>
      <x:c r="L31" s="4">
        <x:v>27.81931756835547</x:v>
      </x:c>
      <x:c r="M31" s="4">
        <x:v>1.529296745502506</x:v>
      </x:c>
      <x:c r="N31" s="7">
        <x:v>0.03800433884103232</x:v>
      </x:c>
      <x:c r="O31">
        <x:v>38.61008480864255</x:v>
      </x:c>
      <x:c r="P31">
        <x:v>941561856</x:v>
      </x:c>
      <x:c r="Q31">
        <x:v>1000341504</x:v>
      </x:c>
      <x:c r="R31" t="s">
        <x:v>194</x:v>
      </x:c>
      <x:c r="S31" s="5" t="s">
        <x:v>335</x:v>
      </x:c>
    </x:row>
    <x:row r="32">
      <x:c r="A32" t="s">
        <x:v>196</x:v>
      </x:c>
      <x:c r="B32">
        <x:v>1</x:v>
      </x:c>
      <x:c r="C32">
        <x:v>1</x:v>
      </x:c>
      <x:c r="D32">
        <x:v>1</x:v>
      </x:c>
      <x:c r="E32" t="s">
        <x:v>334</x:v>
      </x:c>
      <x:c r="F32">
        <x:v>32</x:v>
      </x:c>
      <x:c r="G32">
        <x:v>20</x:v>
      </x:c>
      <x:c r="H32">
        <x:v>200</x:v>
      </x:c>
      <x:c r="I32" s="4">
        <x:v>36.07832019519265</x:v>
      </x:c>
      <x:c r="J32" s="4">
        <x:v>36.10285100148758</x:v>
      </x:c>
      <x:c r="K32" s="4">
        <x:v>38.1939691498701</x:v>
      </x:c>
      <x:c r="L32" s="4">
        <x:v>39.10724261950236</x:v>
      </x:c>
      <x:c r="M32" s="4">
        <x:v>2.357509249122813</x:v>
      </x:c>
      <x:c r="N32" s="7">
        <x:v>0.03857222241209403</x:v>
      </x:c>
      <x:c r="O32">
        <x:v>27.71747671703539</x:v>
      </x:c>
      <x:c r="P32">
        <x:v>936573952</x:v>
      </x:c>
      <x:c r="Q32">
        <x:v>977272832</x:v>
      </x:c>
      <x:c r="R32" t="s">
        <x:v>202</x:v>
      </x:c>
      <x:c r="S32" s="5" t="s">
        <x:v>335</x:v>
      </x:c>
    </x:row>
    <x:row r="33">
      <x:c r="A33" t="s">
        <x:v>196</x:v>
      </x:c>
      <x:c r="B33">
        <x:v>2</x:v>
      </x:c>
      <x:c r="C33">
        <x:v>1</x:v>
      </x:c>
      <x:c r="D33">
        <x:v>2</x:v>
      </x:c>
      <x:c r="E33" t="s">
        <x:v>334</x:v>
      </x:c>
      <x:c r="F33">
        <x:v>32</x:v>
      </x:c>
      <x:c r="G33">
        <x:v>20</x:v>
      </x:c>
      <x:c r="H33">
        <x:v>200</x:v>
      </x:c>
      <x:c r="I33" s="4">
        <x:v>36.23329845006083</x:v>
      </x:c>
      <x:c r="J33" s="4">
        <x:v>36.37602900198544</x:v>
      </x:c>
      <x:c r="K33" s="4">
        <x:v>37.65809490578249</x:v>
      </x:c>
      <x:c r="L33" s="4">
        <x:v>38.2636112414184</x:v>
      </x:c>
      <x:c r="M33" s="4">
        <x:v>1.422168248609523</x:v>
      </x:c>
      <x:c r="N33" s="7">
        <x:v>0.02727513664803722</x:v>
      </x:c>
      <x:c r="O33">
        <x:v>27.59892261473979</x:v>
      </x:c>
      <x:c r="P33">
        <x:v>936573952</x:v>
      </x:c>
      <x:c r="Q33">
        <x:v>977272832</x:v>
      </x:c>
      <x:c r="R33" t="s">
        <x:v>202</x:v>
      </x:c>
      <x:c r="S33" s="5" t="s">
        <x:v>335</x:v>
      </x:c>
    </x:row>
    <x:row r="34">
      <x:c r="A34" t="s">
        <x:v>196</x:v>
      </x:c>
      <x:c r="B34">
        <x:v>3</x:v>
      </x:c>
      <x:c r="C34">
        <x:v>1</x:v>
      </x:c>
      <x:c r="D34">
        <x:v>3</x:v>
      </x:c>
      <x:c r="E34" t="s">
        <x:v>334</x:v>
      </x:c>
      <x:c r="F34">
        <x:v>32</x:v>
      </x:c>
      <x:c r="G34">
        <x:v>20</x:v>
      </x:c>
      <x:c r="H34">
        <x:v>200</x:v>
      </x:c>
      <x:c r="I34" s="4">
        <x:v>36.31526332505018</x:v>
      </x:c>
      <x:c r="J34" s="4">
        <x:v>36.43458350052242</x:v>
      </x:c>
      <x:c r="K34" s="4">
        <x:v>37.45485285035102</x:v>
      </x:c>
      <x:c r="L34" s="4">
        <x:v>37.8881141023885</x:v>
      </x:c>
      <x:c r="M34" s="4">
        <x:v>1.251310253792326</x:v>
      </x:c>
      <x:c r="N34" s="7">
        <x:v>0.02423886303974464</x:v>
      </x:c>
      <x:c r="O34">
        <x:v>27.53663083891787</x:v>
      </x:c>
      <x:c r="P34">
        <x:v>936573952</x:v>
      </x:c>
      <x:c r="Q34">
        <x:v>977272832</x:v>
      </x:c>
      <x:c r="R34" t="s">
        <x:v>202</x:v>
      </x:c>
      <x:c r="S34" s="5" t="s">
        <x:v>335</x:v>
      </x:c>
    </x:row>
    <x:row r="35">
      <x:c r="A35" t="s">
        <x:v>204</x:v>
      </x:c>
      <x:c r="B35">
        <x:v>1</x:v>
      </x:c>
      <x:c r="C35">
        <x:v>1</x:v>
      </x:c>
      <x:c r="D35">
        <x:v>1</x:v>
      </x:c>
      <x:c r="E35" t="s">
        <x:v>334</x:v>
      </x:c>
      <x:c r="F35">
        <x:v>32</x:v>
      </x:c>
      <x:c r="G35">
        <x:v>20</x:v>
      </x:c>
      <x:c r="H35">
        <x:v>200</x:v>
      </x:c>
      <x:c r="I35" s="4">
        <x:v>41.9324560351015</x:v>
      </x:c>
      <x:c r="J35" s="4">
        <x:v>42.05381450083223</x:v>
      </x:c>
      <x:c r="K35" s="4">
        <x:v>43.24896545440424</x:v>
      </x:c>
      <x:c r="L35" s="4">
        <x:v>43.68302805829444</x:v>
      </x:c>
      <x:c r="M35" s="4">
        <x:v>1.086249250874971</x:v>
      </x:c>
      <x:c r="N35" s="7">
        <x:v>0.02158071186294658</x:v>
      </x:c>
      <x:c r="O35">
        <x:v>23.84787571619711</x:v>
      </x:c>
      <x:c r="P35">
        <x:v>939813376</x:v>
      </x:c>
      <x:c r="Q35">
        <x:v>981467136</x:v>
      </x:c>
      <x:c r="R35" t="s">
        <x:v>209</x:v>
      </x:c>
      <x:c r="S35" s="5" t="s">
        <x:v>335</x:v>
      </x:c>
    </x:row>
    <x:row r="36">
      <x:c r="A36" t="s">
        <x:v>204</x:v>
      </x:c>
      <x:c r="B36">
        <x:v>2</x:v>
      </x:c>
      <x:c r="C36">
        <x:v>1</x:v>
      </x:c>
      <x:c r="D36">
        <x:v>2</x:v>
      </x:c>
      <x:c r="E36" t="s">
        <x:v>334</x:v>
      </x:c>
      <x:c r="F36">
        <x:v>32</x:v>
      </x:c>
      <x:c r="G36">
        <x:v>20</x:v>
      </x:c>
      <x:c r="H36">
        <x:v>200</x:v>
      </x:c>
      <x:c r="I36" s="4">
        <x:v>41.67228156456986</x:v>
      </x:c>
      <x:c r="J36" s="4">
        <x:v>41.9712895018165</x:v>
      </x:c>
      <x:c r="K36" s="4">
        <x:v>43.19280085219361</x:v>
      </x:c>
      <x:c r="L36" s="4">
        <x:v>43.63077865695232</x:v>
      </x:c>
      <x:c r="M36" s="4">
        <x:v>1.770108248820179</x:v>
      </x:c>
      <x:c r="N36" s="7">
        <x:v>0.02700992739314245</x:v>
      </x:c>
      <x:c r="O36">
        <x:v>23.99676625457937</x:v>
      </x:c>
      <x:c r="P36">
        <x:v>939813376</x:v>
      </x:c>
      <x:c r="Q36">
        <x:v>981467136</x:v>
      </x:c>
      <x:c r="R36" t="s">
        <x:v>209</x:v>
      </x:c>
      <x:c r="S36" s="5" t="s">
        <x:v>335</x:v>
      </x:c>
    </x:row>
    <x:row r="37">
      <x:c r="A37" t="s">
        <x:v>204</x:v>
      </x:c>
      <x:c r="B37">
        <x:v>3</x:v>
      </x:c>
      <x:c r="C37">
        <x:v>1</x:v>
      </x:c>
      <x:c r="D37">
        <x:v>3</x:v>
      </x:c>
      <x:c r="E37" t="s">
        <x:v>334</x:v>
      </x:c>
      <x:c r="F37">
        <x:v>32</x:v>
      </x:c>
      <x:c r="G37">
        <x:v>20</x:v>
      </x:c>
      <x:c r="H37">
        <x:v>200</x:v>
      </x:c>
      <x:c r="I37" s="4">
        <x:v>41.67631771986635</x:v>
      </x:c>
      <x:c r="J37" s="4">
        <x:v>41.8413654952019</x:v>
      </x:c>
      <x:c r="K37" s="4">
        <x:v>42.95488040224882</x:v>
      </x:c>
      <x:c r="L37" s="4">
        <x:v>43.29426032207266</x:v>
      </x:c>
      <x:c r="M37" s="4">
        <x:v>1.147066497651394</x:v>
      </x:c>
      <x:c r="N37" s="7">
        <x:v>0.02190701044693901</x:v>
      </x:c>
      <x:c r="O37">
        <x:v>23.99444228066526</x:v>
      </x:c>
      <x:c r="P37">
        <x:v>939813376</x:v>
      </x:c>
      <x:c r="Q37">
        <x:v>981467136</x:v>
      </x:c>
      <x:c r="R37" t="s">
        <x:v>209</x:v>
      </x:c>
      <x:c r="S37" s="5" t="s">
        <x:v>335</x:v>
      </x:c>
    </x:row>
    <x:row r="38">
      <x:c r="A38" t="s">
        <x:v>211</x:v>
      </x:c>
      <x:c r="B38">
        <x:v>1</x:v>
      </x:c>
      <x:c r="C38">
        <x:v>1</x:v>
      </x:c>
      <x:c r="D38">
        <x:v>1</x:v>
      </x:c>
      <x:c r="E38" t="s">
        <x:v>334</x:v>
      </x:c>
      <x:c r="F38">
        <x:v>32</x:v>
      </x:c>
      <x:c r="G38">
        <x:v>20</x:v>
      </x:c>
      <x:c r="H38">
        <x:v>200</x:v>
      </x:c>
      <x:c r="I38" s="4">
        <x:v>23.40962337515521</x:v>
      </x:c>
      <x:c r="J38" s="4">
        <x:v>23.20881550258491</x:v>
      </x:c>
      <x:c r="K38" s="4">
        <x:v>25.31649249940529</x:v>
      </x:c>
      <x:c r="L38" s="4">
        <x:v>25.5564777431573</x:v>
      </x:c>
      <x:c r="M38" s="4">
        <x:v>0.910753244170337</x:v>
      </x:c>
      <x:c r="N38" s="7">
        <x:v>0.03732010753698589</x:v>
      </x:c>
      <x:c r="O38">
        <x:v>42.71747494499663</x:v>
      </x:c>
      <x:c r="P38">
        <x:v>936573952</x:v>
      </x:c>
      <x:c r="Q38">
        <x:v>977272832</x:v>
      </x:c>
      <x:c r="R38" t="s">
        <x:v>217</x:v>
      </x:c>
      <x:c r="S38" s="5" t="s">
        <x:v>335</x:v>
      </x:c>
    </x:row>
    <x:row r="39">
      <x:c r="A39" t="s">
        <x:v>211</x:v>
      </x:c>
      <x:c r="B39">
        <x:v>2</x:v>
      </x:c>
      <x:c r="C39">
        <x:v>1</x:v>
      </x:c>
      <x:c r="D39">
        <x:v>2</x:v>
      </x:c>
      <x:c r="E39" t="s">
        <x:v>334</x:v>
      </x:c>
      <x:c r="F39">
        <x:v>32</x:v>
      </x:c>
      <x:c r="G39">
        <x:v>20</x:v>
      </x:c>
      <x:c r="H39">
        <x:v>200</x:v>
      </x:c>
      <x:c r="I39" s="4">
        <x:v>24.88361006042396</x:v>
      </x:c>
      <x:c r="J39" s="4">
        <x:v>25.01207099703606</x:v>
      </x:c>
      <x:c r="K39" s="4">
        <x:v>25.94092195540725</x:v>
      </x:c>
      <x:c r="L39" s="4">
        <x:v>26.43697994106333</x:v>
      </x:c>
      <x:c r="M39" s="4">
        <x:v>0.9762264980963664</x:v>
      </x:c>
      <x:c r="N39" s="7">
        <x:v>0.03215090820091026</x:v>
      </x:c>
      <x:c r="O39">
        <x:v>40.18709494208181</x:v>
      </x:c>
      <x:c r="P39">
        <x:v>936573952</x:v>
      </x:c>
      <x:c r="Q39">
        <x:v>977272832</x:v>
      </x:c>
      <x:c r="R39" t="s">
        <x:v>217</x:v>
      </x:c>
      <x:c r="S39" s="5" t="s">
        <x:v>335</x:v>
      </x:c>
    </x:row>
    <x:row r="40">
      <x:c r="A40" t="s">
        <x:v>211</x:v>
      </x:c>
      <x:c r="B40">
        <x:v>3</x:v>
      </x:c>
      <x:c r="C40">
        <x:v>1</x:v>
      </x:c>
      <x:c r="D40">
        <x:v>3</x:v>
      </x:c>
      <x:c r="E40" t="s">
        <x:v>334</x:v>
      </x:c>
      <x:c r="F40">
        <x:v>32</x:v>
      </x:c>
      <x:c r="G40">
        <x:v>20</x:v>
      </x:c>
      <x:c r="H40">
        <x:v>200</x:v>
      </x:c>
      <x:c r="I40" s="4">
        <x:v>24.0221716951055</x:v>
      </x:c>
      <x:c r="J40" s="4">
        <x:v>23.80835700023454</x:v>
      </x:c>
      <x:c r="K40" s="4">
        <x:v>25.94747680195724</x:v>
      </x:c>
      <x:c r="L40" s="4">
        <x:v>26.84546808261075</x:v>
      </x:c>
      <x:c r="M40" s="4">
        <x:v>1.850382994234678</x:v>
      </x:c>
      <x:c r="N40" s="7">
        <x:v>0.04789630150857147</x:v>
      </x:c>
      <x:c r="O40">
        <x:v>41.62820966781073</x:v>
      </x:c>
      <x:c r="P40">
        <x:v>936573952</x:v>
      </x:c>
      <x:c r="Q40">
        <x:v>977272832</x:v>
      </x:c>
      <x:c r="R40" t="s">
        <x:v>217</x:v>
      </x:c>
      <x:c r="S40" s="5" t="s">
        <x:v>335</x:v>
      </x:c>
    </x:row>
    <x:row r="41">
      <x:c r="A41" t="s">
        <x:v>219</x:v>
      </x:c>
      <x:c r="B41">
        <x:v>1</x:v>
      </x:c>
      <x:c r="C41">
        <x:v>1</x:v>
      </x:c>
      <x:c r="D41">
        <x:v>1</x:v>
      </x:c>
      <x:c r="E41" t="s">
        <x:v>334</x:v>
      </x:c>
      <x:c r="F41">
        <x:v>32</x:v>
      </x:c>
      <x:c r="G41">
        <x:v>20</x:v>
      </x:c>
      <x:c r="H41">
        <x:v>200</x:v>
      </x:c>
      <x:c r="I41" s="4">
        <x:v>43.07042928507144</x:v>
      </x:c>
      <x:c r="J41" s="4">
        <x:v>43.12465450129821</x:v>
      </x:c>
      <x:c r="K41" s="4">
        <x:v>44.55484250211157</x:v>
      </x:c>
      <x:c r="L41" s="4">
        <x:v>45.04400749581691</x:v>
      </x:c>
      <x:c r="M41" s="4">
        <x:v>1.217316750626196</x:v>
      </x:c>
      <x:c r="N41" s="7">
        <x:v>0.02277077311351611</x:v>
      </x:c>
      <x:c r="O41">
        <x:v>23.21778576622193</x:v>
      </x:c>
      <x:c r="P41">
        <x:v>939813376</x:v>
      </x:c>
      <x:c r="Q41">
        <x:v>981467136</x:v>
      </x:c>
      <x:c r="R41" t="s">
        <x:v>223</x:v>
      </x:c>
      <x:c r="S41" s="5" t="s">
        <x:v>335</x:v>
      </x:c>
    </x:row>
    <x:row r="42">
      <x:c r="A42" t="s">
        <x:v>219</x:v>
      </x:c>
      <x:c r="B42">
        <x:v>2</x:v>
      </x:c>
      <x:c r="C42">
        <x:v>1</x:v>
      </x:c>
      <x:c r="D42">
        <x:v>2</x:v>
      </x:c>
      <x:c r="E42" t="s">
        <x:v>334</x:v>
      </x:c>
      <x:c r="F42">
        <x:v>32</x:v>
      </x:c>
      <x:c r="G42">
        <x:v>20</x:v>
      </x:c>
      <x:c r="H42">
        <x:v>200</x:v>
      </x:c>
      <x:c r="I42" s="4">
        <x:v>42.3837356500735</x:v>
      </x:c>
      <x:c r="J42" s="4">
        <x:v>42.1917415005737</x:v>
      </x:c>
      <x:c r="K42" s="4">
        <x:v>44.61521409793932</x:v>
      </x:c>
      <x:c r="L42" s="4">
        <x:v>46.73372403078246</x:v>
      </x:c>
      <x:c r="M42" s="4">
        <x:v>2.338799502467737</x:v>
      </x:c>
      <x:c r="N42" s="7">
        <x:v>0.03533474170589488</x:v>
      </x:c>
      <x:c r="O42">
        <x:v>23.59395614053821</x:v>
      </x:c>
      <x:c r="P42">
        <x:v>939813376</x:v>
      </x:c>
      <x:c r="Q42">
        <x:v>981467136</x:v>
      </x:c>
      <x:c r="R42" t="s">
        <x:v>223</x:v>
      </x:c>
      <x:c r="S42" s="5" t="s">
        <x:v>335</x:v>
      </x:c>
    </x:row>
    <x:row r="43">
      <x:c r="A43" t="s">
        <x:v>219</x:v>
      </x:c>
      <x:c r="B43">
        <x:v>3</x:v>
      </x:c>
      <x:c r="C43">
        <x:v>1</x:v>
      </x:c>
      <x:c r="D43">
        <x:v>3</x:v>
      </x:c>
      <x:c r="E43" t="s">
        <x:v>334</x:v>
      </x:c>
      <x:c r="F43">
        <x:v>32</x:v>
      </x:c>
      <x:c r="G43">
        <x:v>20</x:v>
      </x:c>
      <x:c r="H43">
        <x:v>200</x:v>
      </x:c>
      <x:c r="I43" s="4">
        <x:v>43.06656067488802</x:v>
      </x:c>
      <x:c r="J43" s="4">
        <x:v>43.12659249626449</x:v>
      </x:c>
      <x:c r="K43" s="4">
        <x:v>44.78622449787508</x:v>
      </x:c>
      <x:c r="L43" s="4">
        <x:v>45.40361245861277</x:v>
      </x:c>
      <x:c r="M43" s="4">
        <x:v>2.008763996855123</x:v>
      </x:c>
      <x:c r="N43" s="7">
        <x:v>0.02805839364917945</x:v>
      </x:c>
      <x:c r="O43">
        <x:v>23.21987138813007</x:v>
      </x:c>
      <x:c r="P43">
        <x:v>939813376</x:v>
      </x:c>
      <x:c r="Q43">
        <x:v>981467136</x:v>
      </x:c>
      <x:c r="R43" t="s">
        <x:v>223</x:v>
      </x:c>
      <x:c r="S43" s="5" t="s">
        <x:v>335</x:v>
      </x:c>
    </x:row>
    <x:row r="44">
      <x:c r="A44" t="s">
        <x:v>225</x:v>
      </x:c>
      <x:c r="B44">
        <x:v>1</x:v>
      </x:c>
      <x:c r="C44">
        <x:v>1</x:v>
      </x:c>
      <x:c r="D44">
        <x:v>1</x:v>
      </x:c>
      <x:c r="E44" t="s">
        <x:v>334</x:v>
      </x:c>
      <x:c r="F44">
        <x:v>32</x:v>
      </x:c>
      <x:c r="G44">
        <x:v>20</x:v>
      </x:c>
      <x:c r="H44">
        <x:v>200</x:v>
      </x:c>
      <x:c r="I44" s="4">
        <x:v>32.43267584493879</x:v>
      </x:c>
      <x:c r="J44" s="4">
        <x:v>32.54655850105337</x:v>
      </x:c>
      <x:c r="K44" s="4">
        <x:v>34.15385354928731</x:v>
      </x:c>
      <x:c r="L44" s="4">
        <x:v>34.59720619219297</x:v>
      </x:c>
      <x:c r="M44" s="4">
        <x:v>1.452898501156596</x:v>
      </x:c>
      <x:c r="N44" s="7">
        <x:v>0.03151692838837496</x:v>
      </x:c>
      <x:c r="O44">
        <x:v>30.83310192415261</x:v>
      </x:c>
      <x:c r="P44">
        <x:v>933675520</x:v>
      </x:c>
      <x:c r="Q44">
        <x:v>966787072</x:v>
      </x:c>
      <x:c r="R44" t="s">
        <x:v>230</x:v>
      </x:c>
      <x:c r="S44" s="5" t="s">
        <x:v>335</x:v>
      </x:c>
    </x:row>
    <x:row r="45">
      <x:c r="A45" t="s">
        <x:v>225</x:v>
      </x:c>
      <x:c r="B45">
        <x:v>2</x:v>
      </x:c>
      <x:c r="C45">
        <x:v>1</x:v>
      </x:c>
      <x:c r="D45">
        <x:v>2</x:v>
      </x:c>
      <x:c r="E45" t="s">
        <x:v>334</x:v>
      </x:c>
      <x:c r="F45">
        <x:v>32</x:v>
      </x:c>
      <x:c r="G45">
        <x:v>20</x:v>
      </x:c>
      <x:c r="H45">
        <x:v>200</x:v>
      </x:c>
      <x:c r="I45" s="4">
        <x:v>33.18148440986988</x:v>
      </x:c>
      <x:c r="J45" s="4">
        <x:v>32.93341499738744</x:v>
      </x:c>
      <x:c r="K45" s="4">
        <x:v>35.87757499808504</x:v>
      </x:c>
      <x:c r="L45" s="4">
        <x:v>40.50310336351685</x:v>
      </x:c>
      <x:c r="M45" s="4">
        <x:v>2.377213750150986</x:v>
      </x:c>
      <x:c r="N45" s="7">
        <x:v>0.05336683085194718</x:v>
      </x:c>
      <x:c r="O45">
        <x:v>30.13728944876705</x:v>
      </x:c>
      <x:c r="P45">
        <x:v>933675520</x:v>
      </x:c>
      <x:c r="Q45">
        <x:v>966787072</x:v>
      </x:c>
      <x:c r="R45" t="s">
        <x:v>230</x:v>
      </x:c>
      <x:c r="S45" s="5" t="s">
        <x:v>335</x:v>
      </x:c>
    </x:row>
    <x:row r="46">
      <x:c r="A46" t="s">
        <x:v>225</x:v>
      </x:c>
      <x:c r="B46">
        <x:v>3</x:v>
      </x:c>
      <x:c r="C46">
        <x:v>1</x:v>
      </x:c>
      <x:c r="D46">
        <x:v>3</x:v>
      </x:c>
      <x:c r="E46" t="s">
        <x:v>334</x:v>
      </x:c>
      <x:c r="F46">
        <x:v>32</x:v>
      </x:c>
      <x:c r="G46">
        <x:v>20</x:v>
      </x:c>
      <x:c r="H46">
        <x:v>200</x:v>
      </x:c>
      <x:c r="I46" s="4">
        <x:v>32.02679234953393</x:v>
      </x:c>
      <x:c r="J46" s="4">
        <x:v>31.75817299779737</x:v>
      </x:c>
      <x:c r="K46" s="4">
        <x:v>34.03979055365198</x:v>
      </x:c>
      <x:c r="L46" s="4">
        <x:v>34.46294744579063</x:v>
      </x:c>
      <x:c r="M46" s="4">
        <x:v>1.466045750930789</x:v>
      </x:c>
      <x:c r="N46" s="7">
        <x:v>0.03418266246214852</x:v>
      </x:c>
      <x:c r="O46">
        <x:v>31.22385748426512</x:v>
      </x:c>
      <x:c r="P46">
        <x:v>933675520</x:v>
      </x:c>
      <x:c r="Q46">
        <x:v>966787072</x:v>
      </x:c>
      <x:c r="R46" t="s">
        <x:v>230</x:v>
      </x:c>
      <x:c r="S46" s="5" t="s">
        <x:v>335</x:v>
      </x:c>
    </x:row>
    <x:row r="47">
      <x:c r="A47" t="s">
        <x:v>232</x:v>
      </x:c>
      <x:c r="B47">
        <x:v>1</x:v>
      </x:c>
      <x:c r="C47">
        <x:v>1</x:v>
      </x:c>
      <x:c r="D47">
        <x:v>1</x:v>
      </x:c>
      <x:c r="E47" t="s">
        <x:v>334</x:v>
      </x:c>
      <x:c r="F47">
        <x:v>32</x:v>
      </x:c>
      <x:c r="G47">
        <x:v>20</x:v>
      </x:c>
      <x:c r="H47">
        <x:v>200</x:v>
      </x:c>
      <x:c r="I47" s="4">
        <x:v>25.09940497031494</x:v>
      </x:c>
      <x:c r="J47" s="4">
        <x:v>24.83020750150899</x:v>
      </x:c>
      <x:c r="K47" s="4">
        <x:v>27.34947474891668</x:v>
      </x:c>
      <x:c r="L47" s="4">
        <x:v>29.35892929046531</x:v>
      </x:c>
      <x:c r="M47" s="4">
        <x:v>1.178089753011591</x:v>
      </x:c>
      <x:c r="N47" s="7">
        <x:v>0.04569950313332457</x:v>
      </x:c>
      <x:c r="O47">
        <x:v>39.84158194916174</x:v>
      </x:c>
      <x:c r="P47">
        <x:v>941561856</x:v>
      </x:c>
      <x:c r="Q47">
        <x:v>1000341504</x:v>
      </x:c>
      <x:c r="R47" t="s">
        <x:v>237</x:v>
      </x:c>
      <x:c r="S47" s="5" t="s">
        <x:v>335</x:v>
      </x:c>
    </x:row>
    <x:row r="48">
      <x:c r="A48" t="s">
        <x:v>232</x:v>
      </x:c>
      <x:c r="B48">
        <x:v>2</x:v>
      </x:c>
      <x:c r="C48">
        <x:v>1</x:v>
      </x:c>
      <x:c r="D48">
        <x:v>2</x:v>
      </x:c>
      <x:c r="E48" t="s">
        <x:v>334</x:v>
      </x:c>
      <x:c r="F48">
        <x:v>32</x:v>
      </x:c>
      <x:c r="G48">
        <x:v>20</x:v>
      </x:c>
      <x:c r="H48">
        <x:v>200</x:v>
      </x:c>
      <x:c r="I48" s="4">
        <x:v>25.52601269988372</x:v>
      </x:c>
      <x:c r="J48" s="4">
        <x:v>25.11263899941696</x:v>
      </x:c>
      <x:c r="K48" s="4">
        <x:v>28.04900814990106</x:v>
      </x:c>
      <x:c r="L48" s="4">
        <x:v>28.74209934598184</x:v>
      </x:c>
      <x:c r="M48" s="4">
        <x:v>1.55619325414591</x:v>
      </x:c>
      <x:c r="N48" s="7">
        <x:v>0.05039668892799459</x:v>
      </x:c>
      <x:c r="O48">
        <x:v>39.17572288932362</x:v>
      </x:c>
      <x:c r="P48">
        <x:v>941561856</x:v>
      </x:c>
      <x:c r="Q48">
        <x:v>1000341504</x:v>
      </x:c>
      <x:c r="R48" t="s">
        <x:v>237</x:v>
      </x:c>
      <x:c r="S48" s="5" t="s">
        <x:v>335</x:v>
      </x:c>
    </x:row>
    <x:row r="49">
      <x:c r="A49" t="s">
        <x:v>232</x:v>
      </x:c>
      <x:c r="B49">
        <x:v>3</x:v>
      </x:c>
      <x:c r="C49">
        <x:v>1</x:v>
      </x:c>
      <x:c r="D49">
        <x:v>3</x:v>
      </x:c>
      <x:c r="E49" t="s">
        <x:v>334</x:v>
      </x:c>
      <x:c r="F49">
        <x:v>32</x:v>
      </x:c>
      <x:c r="G49">
        <x:v>20</x:v>
      </x:c>
      <x:c r="H49">
        <x:v>200</x:v>
      </x:c>
      <x:c r="I49" s="4">
        <x:v>25.62534549473639</x:v>
      </x:c>
      <x:c r="J49" s="4">
        <x:v>25.37998049592716</x:v>
      </x:c>
      <x:c r="K49" s="4">
        <x:v>27.66152330586919</x:v>
      </x:c>
      <x:c r="L49" s="4">
        <x:v>28.52779248045408</x:v>
      </x:c>
      <x:c r="M49" s="4">
        <x:v>1.423129244358279</x:v>
      </x:c>
      <x:c r="N49" s="7">
        <x:v>0.04130134146787651</x:v>
      </x:c>
      <x:c r="O49">
        <x:v>39.02386409601409</x:v>
      </x:c>
      <x:c r="P49">
        <x:v>941561856</x:v>
      </x:c>
      <x:c r="Q49">
        <x:v>1000341504</x:v>
      </x:c>
      <x:c r="R49" t="s">
        <x:v>237</x:v>
      </x:c>
      <x:c r="S49" s="5" t="s">
        <x:v>335</x:v>
      </x:c>
    </x:row>
    <x:row r="50">
      <x:c r="A50" t="s">
        <x:v>239</x:v>
      </x:c>
      <x:c r="B50">
        <x:v>1</x:v>
      </x:c>
      <x:c r="C50">
        <x:v>1</x:v>
      </x:c>
      <x:c r="D50">
        <x:v>1</x:v>
      </x:c>
      <x:c r="E50" t="s">
        <x:v>334</x:v>
      </x:c>
      <x:c r="F50">
        <x:v>32</x:v>
      </x:c>
      <x:c r="G50">
        <x:v>20</x:v>
      </x:c>
      <x:c r="H50">
        <x:v>200</x:v>
      </x:c>
      <x:c r="I50" s="4">
        <x:v>25.60262812978181</x:v>
      </x:c>
      <x:c r="J50" s="4">
        <x:v>25.52665500479634</x:v>
      </x:c>
      <x:c r="K50" s="4">
        <x:v>27.63498189997335</x:v>
      </x:c>
      <x:c r="L50" s="4">
        <x:v>28.32074348443712</x:v>
      </x:c>
      <x:c r="M50" s="4">
        <x:v>1.850082999226288</x:v>
      </x:c>
      <x:c r="N50" s="7">
        <x:v>0.04702719229052349</x:v>
      </x:c>
      <x:c r="O50">
        <x:v>39.05849020385402</x:v>
      </x:c>
      <x:c r="P50">
        <x:v>941561856</x:v>
      </x:c>
      <x:c r="Q50">
        <x:v>1000341504</x:v>
      </x:c>
      <x:c r="R50" t="s">
        <x:v>245</x:v>
      </x:c>
      <x:c r="S50" s="5" t="s">
        <x:v>335</x:v>
      </x:c>
    </x:row>
    <x:row r="51">
      <x:c r="A51" t="s">
        <x:v>239</x:v>
      </x:c>
      <x:c r="B51">
        <x:v>2</x:v>
      </x:c>
      <x:c r="C51">
        <x:v>1</x:v>
      </x:c>
      <x:c r="D51">
        <x:v>2</x:v>
      </x:c>
      <x:c r="E51" t="s">
        <x:v>334</x:v>
      </x:c>
      <x:c r="F51">
        <x:v>32</x:v>
      </x:c>
      <x:c r="G51">
        <x:v>20</x:v>
      </x:c>
      <x:c r="H51">
        <x:v>200</x:v>
      </x:c>
      <x:c r="I51" s="4">
        <x:v>25.63987065463152</x:v>
      </x:c>
      <x:c r="J51" s="4">
        <x:v>25.47441250135307</x:v>
      </x:c>
      <x:c r="K51" s="4">
        <x:v>27.85414304671576</x:v>
      </x:c>
      <x:c r="L51" s="4">
        <x:v>28.55008879414527</x:v>
      </x:c>
      <x:c r="M51" s="4">
        <x:v>1.831943500292255</x:v>
      </x:c>
      <x:c r="N51" s="7">
        <x:v>0.04887330961907616</x:v>
      </x:c>
      <x:c r="O51">
        <x:v>39.00175681344018</x:v>
      </x:c>
      <x:c r="P51">
        <x:v>941561856</x:v>
      </x:c>
      <x:c r="Q51">
        <x:v>1000341504</x:v>
      </x:c>
      <x:c r="R51" t="s">
        <x:v>245</x:v>
      </x:c>
      <x:c r="S51" s="5" t="s">
        <x:v>335</x:v>
      </x:c>
    </x:row>
    <x:row r="52">
      <x:c r="A52" t="s">
        <x:v>239</x:v>
      </x:c>
      <x:c r="B52">
        <x:v>3</x:v>
      </x:c>
      <x:c r="C52">
        <x:v>1</x:v>
      </x:c>
      <x:c r="D52">
        <x:v>3</x:v>
      </x:c>
      <x:c r="E52" t="s">
        <x:v>334</x:v>
      </x:c>
      <x:c r="F52">
        <x:v>32</x:v>
      </x:c>
      <x:c r="G52">
        <x:v>20</x:v>
      </x:c>
      <x:c r="H52">
        <x:v>200</x:v>
      </x:c>
      <x:c r="I52" s="4">
        <x:v>25.07351058979111</x:v>
      </x:c>
      <x:c r="J52" s="4">
        <x:v>24.92436099782935</x:v>
      </x:c>
      <x:c r="K52" s="4">
        <x:v>27.09575480184867</x:v>
      </x:c>
      <x:c r="L52" s="4">
        <x:v>27.81171308211924</x:v>
      </x:c>
      <x:c r="M52" s="4">
        <x:v>1.026511252348428</x:v>
      </x:c>
      <x:c r="N52" s="7">
        <x:v>0.03813813982285857</x:v>
      </x:c>
      <x:c r="O52">
        <x:v>39.8827278860248</x:v>
      </x:c>
      <x:c r="P52">
        <x:v>941561856</x:v>
      </x:c>
      <x:c r="Q52">
        <x:v>1000341504</x:v>
      </x:c>
      <x:c r="R52" t="s">
        <x:v>245</x:v>
      </x:c>
      <x:c r="S52" s="5" t="s">
        <x:v>335</x:v>
      </x:c>
    </x:row>
    <x:row r="53">
      <x:c r="A53" t="s">
        <x:v>252</x:v>
      </x:c>
      <x:c r="B53">
        <x:v>1</x:v>
      </x:c>
      <x:c r="C53">
        <x:v>1</x:v>
      </x:c>
      <x:c r="D53">
        <x:v>1</x:v>
      </x:c>
      <x:c r="E53" t="s">
        <x:v>334</x:v>
      </x:c>
      <x:c r="F53">
        <x:v>32</x:v>
      </x:c>
      <x:c r="G53">
        <x:v>20</x:v>
      </x:c>
      <x:c r="H53">
        <x:v>200</x:v>
      </x:c>
      <x:c r="I53" s="4">
        <x:v>38.4646704552506</x:v>
      </x:c>
      <x:c r="J53" s="4">
        <x:v>38.1283330025326</x:v>
      </x:c>
      <x:c r="K53" s="4">
        <x:v>40.95448030493571</x:v>
      </x:c>
      <x:c r="L53" s="4">
        <x:v>42.31110554334009</x:v>
      </x:c>
      <x:c r="M53" s="4">
        <x:v>1.376265256112674</x:v>
      </x:c>
      <x:c r="N53" s="7">
        <x:v>0.03189721697220589</x:v>
      </x:c>
      <x:c r="O53">
        <x:v>25.9978829446463</x:v>
      </x:c>
      <x:c r="P53">
        <x:v>941561856</x:v>
      </x:c>
      <x:c r="Q53">
        <x:v>1000341504</x:v>
      </x:c>
      <x:c r="R53" t="s">
        <x:v>258</x:v>
      </x:c>
      <x:c r="S53" s="5" t="s">
        <x:v>335</x:v>
      </x:c>
    </x:row>
    <x:row r="54">
      <x:c r="A54" t="s">
        <x:v>252</x:v>
      </x:c>
      <x:c r="B54">
        <x:v>2</x:v>
      </x:c>
      <x:c r="C54">
        <x:v>1</x:v>
      </x:c>
      <x:c r="D54">
        <x:v>2</x:v>
      </x:c>
      <x:c r="E54" t="s">
        <x:v>334</x:v>
      </x:c>
      <x:c r="F54">
        <x:v>32</x:v>
      </x:c>
      <x:c r="G54">
        <x:v>20</x:v>
      </x:c>
      <x:c r="H54">
        <x:v>200</x:v>
      </x:c>
      <x:c r="I54" s="4">
        <x:v>38.02420560521568</x:v>
      </x:c>
      <x:c r="J54" s="4">
        <x:v>37.79153150026104</x:v>
      </x:c>
      <x:c r="K54" s="4">
        <x:v>40.02025469453656</x:v>
      </x:c>
      <x:c r="L54" s="4">
        <x:v>41.03226009516219</x:v>
      </x:c>
      <x:c r="M54" s="4">
        <x:v>1.049383497957024</x:v>
      </x:c>
      <x:c r="N54" s="7">
        <x:v>0.02655535260019474</x:v>
      </x:c>
      <x:c r="O54">
        <x:v>26.29903726017178</x:v>
      </x:c>
      <x:c r="P54">
        <x:v>941561856</x:v>
      </x:c>
      <x:c r="Q54">
        <x:v>1000341504</x:v>
      </x:c>
      <x:c r="R54" t="s">
        <x:v>258</x:v>
      </x:c>
      <x:c r="S54" s="5" t="s">
        <x:v>335</x:v>
      </x:c>
    </x:row>
    <x:row r="55">
      <x:c r="A55" t="s">
        <x:v>252</x:v>
      </x:c>
      <x:c r="B55">
        <x:v>3</x:v>
      </x:c>
      <x:c r="C55">
        <x:v>1</x:v>
      </x:c>
      <x:c r="D55">
        <x:v>3</x:v>
      </x:c>
      <x:c r="E55" t="s">
        <x:v>334</x:v>
      </x:c>
      <x:c r="F55">
        <x:v>32</x:v>
      </x:c>
      <x:c r="G55">
        <x:v>20</x:v>
      </x:c>
      <x:c r="H55">
        <x:v>200</x:v>
      </x:c>
      <x:c r="I55" s="4">
        <x:v>38.46602554025594</x:v>
      </x:c>
      <x:c r="J55" s="4">
        <x:v>38.20535950217163</x:v>
      </x:c>
      <x:c r="K55" s="4">
        <x:v>40.59362815205532</x:v>
      </x:c>
      <x:c r="L55" s="4">
        <x:v>41.93519211010425</x:v>
      </x:c>
      <x:c r="M55" s="4">
        <x:v>1.644091746129561</x:v>
      </x:c>
      <x:c r="N55" s="7">
        <x:v>0.03012191695035502</x:v>
      </x:c>
      <x:c r="O55">
        <x:v>25.9969670886187</x:v>
      </x:c>
      <x:c r="P55">
        <x:v>941561856</x:v>
      </x:c>
      <x:c r="Q55">
        <x:v>1000341504</x:v>
      </x:c>
      <x:c r="R55" t="s">
        <x:v>258</x:v>
      </x:c>
      <x:c r="S55" s="5" t="s">
        <x:v>335</x:v>
      </x:c>
    </x:row>
    <x:row r="56">
      <x:c r="A56" t="s">
        <x:v>260</x:v>
      </x:c>
      <x:c r="B56">
        <x:v>1</x:v>
      </x:c>
      <x:c r="C56">
        <x:v>1</x:v>
      </x:c>
      <x:c r="D56">
        <x:v>1</x:v>
      </x:c>
      <x:c r="E56" t="s">
        <x:v>334</x:v>
      </x:c>
      <x:c r="F56">
        <x:v>32</x:v>
      </x:c>
      <x:c r="G56">
        <x:v>20</x:v>
      </x:c>
      <x:c r="H56">
        <x:v>200</x:v>
      </x:c>
      <x:c r="I56" s="4">
        <x:v>43.22307128484681</x:v>
      </x:c>
      <x:c r="J56" s="4">
        <x:v>42.93441499976325</x:v>
      </x:c>
      <x:c r="K56" s="4">
        <x:v>45.48908965043665</x:v>
      </x:c>
      <x:c r="L56" s="4">
        <x:v>45.89128969098965</x:v>
      </x:c>
      <x:c r="M56" s="4">
        <x:v>1.571012002386851</x:v>
      </x:c>
      <x:c r="N56" s="7">
        <x:v>0.02726440597168193</x:v>
      </x:c>
      <x:c r="O56">
        <x:v>23.13579230429609</x:v>
      </x:c>
      <x:c r="P56">
        <x:v>941561856</x:v>
      </x:c>
      <x:c r="Q56">
        <x:v>1000341504</x:v>
      </x:c>
      <x:c r="R56" t="s">
        <x:v>265</x:v>
      </x:c>
      <x:c r="S56" s="5" t="s">
        <x:v>335</x:v>
      </x:c>
    </x:row>
    <x:row r="57">
      <x:c r="A57" t="s">
        <x:v>260</x:v>
      </x:c>
      <x:c r="B57">
        <x:v>2</x:v>
      </x:c>
      <x:c r="C57">
        <x:v>1</x:v>
      </x:c>
      <x:c r="D57">
        <x:v>2</x:v>
      </x:c>
      <x:c r="E57" t="s">
        <x:v>334</x:v>
      </x:c>
      <x:c r="F57">
        <x:v>32</x:v>
      </x:c>
      <x:c r="G57">
        <x:v>20</x:v>
      </x:c>
      <x:c r="H57">
        <x:v>200</x:v>
      </x:c>
      <x:c r="I57" s="4">
        <x:v>43.91613921998214</x:v>
      </x:c>
      <x:c r="J57" s="4">
        <x:v>43.80997000043862</x:v>
      </x:c>
      <x:c r="K57" s="4">
        <x:v>45.80427885302925</x:v>
      </x:c>
      <x:c r="L57" s="4">
        <x:v>46.64741383996442</x:v>
      </x:c>
      <x:c r="M57" s="4">
        <x:v>1.758247002726421</x:v>
      </x:c>
      <x:c r="N57" s="7">
        <x:v>0.02626450326850988</x:v>
      </x:c>
      <x:c r="O57">
        <x:v>22.77067196164168</x:v>
      </x:c>
      <x:c r="P57">
        <x:v>941561856</x:v>
      </x:c>
      <x:c r="Q57">
        <x:v>1000341504</x:v>
      </x:c>
      <x:c r="R57" t="s">
        <x:v>265</x:v>
      </x:c>
      <x:c r="S57" s="5" t="s">
        <x:v>335</x:v>
      </x:c>
    </x:row>
    <x:row r="58">
      <x:c r="A58" t="s">
        <x:v>260</x:v>
      </x:c>
      <x:c r="B58">
        <x:v>3</x:v>
      </x:c>
      <x:c r="C58">
        <x:v>1</x:v>
      </x:c>
      <x:c r="D58">
        <x:v>3</x:v>
      </x:c>
      <x:c r="E58" t="s">
        <x:v>334</x:v>
      </x:c>
      <x:c r="F58">
        <x:v>32</x:v>
      </x:c>
      <x:c r="G58">
        <x:v>20</x:v>
      </x:c>
      <x:c r="H58">
        <x:v>200</x:v>
      </x:c>
      <x:c r="I58" s="4">
        <x:v>43.43973104969336</x:v>
      </x:c>
      <x:c r="J58" s="4">
        <x:v>43.13873000137392</x:v>
      </x:c>
      <x:c r="K58" s="4">
        <x:v>45.66918519703904</x:v>
      </x:c>
      <x:c r="L58" s="4">
        <x:v>46.88439685662161</x:v>
      </x:c>
      <x:c r="M58" s="4">
        <x:v>1.731970001856098</x:v>
      </x:c>
      <x:c r="N58" s="7">
        <x:v>0.0287455798396991</x:v>
      </x:c>
      <x:c r="O58">
        <x:v>23.02040035321671</x:v>
      </x:c>
      <x:c r="P58">
        <x:v>941561856</x:v>
      </x:c>
      <x:c r="Q58">
        <x:v>1000341504</x:v>
      </x:c>
      <x:c r="R58" t="s">
        <x:v>265</x:v>
      </x:c>
      <x:c r="S58" s="5" t="s">
        <x:v>335</x:v>
      </x:c>
    </x:row>
    <x:row r="59">
      <x:c r="A59" t="s">
        <x:v>267</x:v>
      </x:c>
      <x:c r="B59">
        <x:v>1</x:v>
      </x:c>
      <x:c r="C59">
        <x:v>1</x:v>
      </x:c>
      <x:c r="D59">
        <x:v>1</x:v>
      </x:c>
      <x:c r="E59" t="s">
        <x:v>334</x:v>
      </x:c>
      <x:c r="F59">
        <x:v>32</x:v>
      </x:c>
      <x:c r="G59">
        <x:v>20</x:v>
      </x:c>
      <x:c r="H59">
        <x:v>200</x:v>
      </x:c>
      <x:c r="I59" s="4">
        <x:v>39.66123574009544</x:v>
      </x:c>
      <x:c r="J59" s="4">
        <x:v>39.41318600118393</x:v>
      </x:c>
      <x:c r="K59" s="4">
        <x:v>41.53624120117456</x:v>
      </x:c>
      <x:c r="L59" s="4">
        <x:v>43.51560229515599</x:v>
      </x:c>
      <x:c r="M59" s="4">
        <x:v>1.016414253172115</x:v>
      </x:c>
      <x:c r="N59" s="7">
        <x:v>0.02608740054120153</x:v>
      </x:c>
      <x:c r="O59">
        <x:v>25.21353612260377</x:v>
      </x:c>
      <x:c r="P59">
        <x:v>941561856</x:v>
      </x:c>
      <x:c r="Q59">
        <x:v>1000341504</x:v>
      </x:c>
      <x:c r="R59" t="s">
        <x:v>272</x:v>
      </x:c>
      <x:c r="S59" s="5" t="s">
        <x:v>335</x:v>
      </x:c>
    </x:row>
    <x:row r="60">
      <x:c r="A60" t="s">
        <x:v>267</x:v>
      </x:c>
      <x:c r="B60">
        <x:v>2</x:v>
      </x:c>
      <x:c r="C60">
        <x:v>1</x:v>
      </x:c>
      <x:c r="D60">
        <x:v>2</x:v>
      </x:c>
      <x:c r="E60" t="s">
        <x:v>334</x:v>
      </x:c>
      <x:c r="F60">
        <x:v>32</x:v>
      </x:c>
      <x:c r="G60">
        <x:v>20</x:v>
      </x:c>
      <x:c r="H60">
        <x:v>200</x:v>
      </x:c>
      <x:c r="I60" s="4">
        <x:v>39.71326136022981</x:v>
      </x:c>
      <x:c r="J60" s="4">
        <x:v>39.51208500075154</x:v>
      </x:c>
      <x:c r="K60" s="4">
        <x:v>41.59378255208139</x:v>
      </x:c>
      <x:c r="L60" s="4">
        <x:v>42.63553132041123</x:v>
      </x:c>
      <x:c r="M60" s="4">
        <x:v>1.227599250341882</x:v>
      </x:c>
      <x:c r="N60" s="7">
        <x:v>0.02545818883127573</x:v>
      </x:c>
      <x:c r="O60">
        <x:v>25.18050559809811</x:v>
      </x:c>
      <x:c r="P60">
        <x:v>941561856</x:v>
      </x:c>
      <x:c r="Q60">
        <x:v>1000341504</x:v>
      </x:c>
      <x:c r="R60" t="s">
        <x:v>272</x:v>
      </x:c>
      <x:c r="S60" s="5" t="s">
        <x:v>335</x:v>
      </x:c>
    </x:row>
    <x:row r="61">
      <x:c r="A61" t="s">
        <x:v>267</x:v>
      </x:c>
      <x:c r="B61">
        <x:v>3</x:v>
      </x:c>
      <x:c r="C61">
        <x:v>1</x:v>
      </x:c>
      <x:c r="D61">
        <x:v>3</x:v>
      </x:c>
      <x:c r="E61" t="s">
        <x:v>334</x:v>
      </x:c>
      <x:c r="F61">
        <x:v>32</x:v>
      </x:c>
      <x:c r="G61">
        <x:v>20</x:v>
      </x:c>
      <x:c r="H61">
        <x:v>200</x:v>
      </x:c>
      <x:c r="I61" s="4">
        <x:v>39.56688970978576</x:v>
      </x:c>
      <x:c r="J61" s="4">
        <x:v>39.33019599935506</x:v>
      </x:c>
      <x:c r="K61" s="4">
        <x:v>41.25149644678459</x:v>
      </x:c>
      <x:c r="L61" s="4">
        <x:v>42.45931460311112</x:v>
      </x:c>
      <x:c r="M61" s="4">
        <x:v>0.9081512562261196</x:v>
      </x:c>
      <x:c r="N61" s="7">
        <x:v>0.02275821474001309</x:v>
      </x:c>
      <x:c r="O61">
        <x:v>25.27365702320236</x:v>
      </x:c>
      <x:c r="P61">
        <x:v>941561856</x:v>
      </x:c>
      <x:c r="Q61">
        <x:v>1000341504</x:v>
      </x:c>
      <x:c r="R61" t="s">
        <x:v>272</x:v>
      </x:c>
      <x:c r="S61" s="5" t="s">
        <x:v>335</x:v>
      </x:c>
    </x:row>
    <x:row r="62">
      <x:c r="A62" t="s">
        <x:v>274</x:v>
      </x:c>
      <x:c r="B62">
        <x:v>1</x:v>
      </x:c>
      <x:c r="C62">
        <x:v>1</x:v>
      </x:c>
      <x:c r="D62">
        <x:v>1</x:v>
      </x:c>
      <x:c r="E62" t="s">
        <x:v>334</x:v>
      </x:c>
      <x:c r="F62">
        <x:v>32</x:v>
      </x:c>
      <x:c r="G62">
        <x:v>20</x:v>
      </x:c>
      <x:c r="H62">
        <x:v>200</x:v>
      </x:c>
      <x:c r="I62" s="4">
        <x:v>39.06460407004488</x:v>
      </x:c>
      <x:c r="J62" s="4">
        <x:v>38.77304900379386</x:v>
      </x:c>
      <x:c r="K62" s="4">
        <x:v>41.26267915344215</x:v>
      </x:c>
      <x:c r="L62" s="4">
        <x:v>41.91555844510731</x:v>
      </x:c>
      <x:c r="M62" s="4">
        <x:v>1.957920756467502</x:v>
      </x:c>
      <x:c r="N62" s="7">
        <x:v>0.03114730402968317</x:v>
      </x:c>
      <x:c r="O62">
        <x:v>25.59862115092598</x:v>
      </x:c>
      <x:c r="P62">
        <x:v>941561856</x:v>
      </x:c>
      <x:c r="Q62">
        <x:v>1000341504</x:v>
      </x:c>
      <x:c r="R62" t="s">
        <x:v>278</x:v>
      </x:c>
      <x:c r="S62" s="5" t="s">
        <x:v>335</x:v>
      </x:c>
    </x:row>
    <x:row r="63">
      <x:c r="A63" t="s">
        <x:v>274</x:v>
      </x:c>
      <x:c r="B63">
        <x:v>2</x:v>
      </x:c>
      <x:c r="C63">
        <x:v>1</x:v>
      </x:c>
      <x:c r="D63">
        <x:v>2</x:v>
      </x:c>
      <x:c r="E63" t="s">
        <x:v>334</x:v>
      </x:c>
      <x:c r="F63">
        <x:v>32</x:v>
      </x:c>
      <x:c r="G63">
        <x:v>20</x:v>
      </x:c>
      <x:c r="H63">
        <x:v>200</x:v>
      </x:c>
      <x:c r="I63" s="4">
        <x:v>38.35770868965483</x:v>
      </x:c>
      <x:c r="J63" s="4">
        <x:v>38.21338999841828</x:v>
      </x:c>
      <x:c r="K63" s="4">
        <x:v>40.24394824591582</x:v>
      </x:c>
      <x:c r="L63" s="4">
        <x:v>40.788531611106</x:v>
      </x:c>
      <x:c r="M63" s="4">
        <x:v>1.130527251007152</x:v>
      </x:c>
      <x:c r="N63" s="7">
        <x:v>0.02496883319920509</x:v>
      </x:c>
      <x:c r="O63">
        <x:v>26.0703789188978</x:v>
      </x:c>
      <x:c r="P63">
        <x:v>941561856</x:v>
      </x:c>
      <x:c r="Q63">
        <x:v>1000341504</x:v>
      </x:c>
      <x:c r="R63" t="s">
        <x:v>278</x:v>
      </x:c>
      <x:c r="S63" s="5" t="s">
        <x:v>335</x:v>
      </x:c>
    </x:row>
    <x:row r="64">
      <x:c r="A64" t="s">
        <x:v>274</x:v>
      </x:c>
      <x:c r="B64">
        <x:v>3</x:v>
      </x:c>
      <x:c r="C64">
        <x:v>1</x:v>
      </x:c>
      <x:c r="D64">
        <x:v>3</x:v>
      </x:c>
      <x:c r="E64" t="s">
        <x:v>334</x:v>
      </x:c>
      <x:c r="F64">
        <x:v>32</x:v>
      </x:c>
      <x:c r="G64">
        <x:v>20</x:v>
      </x:c>
      <x:c r="H64">
        <x:v>200</x:v>
      </x:c>
      <x:c r="I64" s="4">
        <x:v>38.37075844989158</x:v>
      </x:c>
      <x:c r="J64" s="4">
        <x:v>38.15618050066405</x:v>
      </x:c>
      <x:c r="K64" s="4">
        <x:v>40.13068000058411</x:v>
      </x:c>
      <x:c r="L64" s="4">
        <x:v>42.36504301370587</x:v>
      </x:c>
      <x:c r="M64" s="4">
        <x:v>0.9532212552585406</x:v>
      </x:c>
      <x:c r="N64" s="7">
        <x:v>0.03380421277792601</x:v>
      </x:c>
      <x:c r="O64">
        <x:v>26.06151247455536</x:v>
      </x:c>
      <x:c r="P64">
        <x:v>941561856</x:v>
      </x:c>
      <x:c r="Q64">
        <x:v>1000341504</x:v>
      </x:c>
      <x:c r="R64" t="s">
        <x:v>278</x:v>
      </x:c>
      <x:c r="S64" s="5" t="s">
        <x:v>335</x:v>
      </x:c>
    </x:row>
  </x:sheetData>
  <x:pageMargins left="0.7" right="0.7" top="0.75" bottom="0.75" header="0.3" footer="0.3"/>
  <x:tableParts count="1">
    <x:tablePart xmlns:r="http://schemas.openxmlformats.org/officeDocument/2006/relationships" r:id="R9dc8f8907f81412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.7109375" customWidth="1"/>
    <x:col min="2" max="2" width="88.7109375" style="5" customWidth="1"/>
  </x:cols>
  <x:sheetData>
    <x:row r="1" s="1" customFormat="1" ht="34" customHeight="1">
      <x:c r="A1" s="1" t="s">
        <x:v>336</x:v>
      </x:c>
      <x:c r="B1" s="1" t="s">
        <x:v>337</x:v>
      </x:c>
    </x:row>
    <x:row r="2">
      <x:c r="A2" t="s">
        <x:v>338</x:v>
      </x:c>
      <x:c r="B2" s="5" t="s">
        <x:v>339</x:v>
      </x:c>
    </x:row>
    <x:row r="3">
      <x:c r="A3" t="s">
        <x:v>340</x:v>
      </x:c>
      <x:c r="B3" s="5" t="s">
        <x:v>341</x:v>
      </x:c>
    </x:row>
    <x:row r="4">
      <x:c r="A4" t="s">
        <x:v>342</x:v>
      </x:c>
      <x:c r="B4" s="5" t="s">
        <x:v>343</x:v>
      </x:c>
    </x:row>
    <x:row r="5">
      <x:c r="A5" t="s">
        <x:v>344</x:v>
      </x:c>
      <x:c r="B5" s="5" t="s">
        <x:v>345</x:v>
      </x:c>
    </x:row>
    <x:row r="6">
      <x:c r="A6" t="s">
        <x:v>346</x:v>
      </x:c>
      <x:c r="B6" s="5" t="s">
        <x:v>347</x:v>
      </x:c>
    </x:row>
    <x:row r="7">
      <x:c r="A7" t="s">
        <x:v>348</x:v>
      </x:c>
      <x:c r="B7" s="5" t="s">
        <x:v>349</x:v>
      </x:c>
    </x:row>
    <x:row r="8">
      <x:c r="A8" t="s">
        <x:v>350</x:v>
      </x:c>
      <x:c r="B8" s="5" t="s">
        <x:v>351</x:v>
      </x:c>
    </x:row>
    <x:row r="9">
      <x:c r="A9" t="s">
        <x:v>352</x:v>
      </x:c>
      <x:c r="B9" s="5" t="s">
        <x:v>353</x:v>
      </x:c>
    </x:row>
    <x:row r="10">
      <x:c r="A10" t="s">
        <x:v>354</x:v>
      </x:c>
      <x:c r="B10" s="5">
        <x:v>3</x:v>
      </x:c>
    </x:row>
    <x:row r="11">
      <x:c r="A11" t="s">
        <x:v>355</x:v>
      </x:c>
      <x:c r="B11" s="5" t="s">
        <x:v>356</x:v>
      </x:c>
    </x:row>
    <x:row r="12">
      <x:c r="A12" t="s">
        <x:v>357</x:v>
      </x:c>
      <x:c r="B12" s="5" t="s">
        <x:v>358</x:v>
      </x:c>
    </x:row>
    <x:row r="13">
      <x:c r="A13" t="s">
        <x:v>359</x:v>
      </x:c>
      <x:c r="B13" s="5" t="s">
        <x:v>360</x:v>
      </x:c>
    </x:row>
    <x:row r="14">
      <x:c r="A14" t="s">
        <x:v>361</x:v>
      </x:c>
      <x:c r="B14" s="5" t="s">
        <x:v>353</x:v>
      </x:c>
    </x:row>
    <x:row r="15">
      <x:c r="A15" t="s">
        <x:v>362</x:v>
      </x:c>
      <x:c r="B15" s="5" t="s">
        <x:v>4</x:v>
      </x:c>
    </x:row>
    <x:row r="16">
      <x:c r="A16" t="s">
        <x:v>363</x:v>
      </x:c>
      <x:c r="B16" s="5" t="s">
        <x:v>120</x:v>
      </x:c>
    </x:row>
    <x:row r="17">
      <x:c r="A17" t="s">
        <x:v>364</x:v>
      </x:c>
      <x:c r="B17" s="5">
        <x:v>437</x:v>
      </x:c>
    </x:row>
    <x:row r="18">
      <x:c r="A18" t="s">
        <x:v>365</x:v>
      </x:c>
      <x:c r="B18" s="5">
        <x:v>593</x:v>
      </x:c>
    </x:row>
    <x:row r="19">
      <x:c r="A19" t="s">
        <x:v>366</x:v>
      </x:c>
      <x:c r="B19" s="5">
        <x:v>20129693696</x:v>
      </x:c>
    </x:row>
    <x:row r="20">
      <x:c r="A20" t="s">
        <x:v>367</x:v>
      </x:c>
      <x:c r="B20" s="5">
        <x:v>10</x:v>
      </x:c>
    </x:row>
    <x:row r="21">
      <x:c r="A21" t="s">
        <x:v>368</x:v>
      </x:c>
      <x:c r="B21" s="5">
        <x:v>568</x:v>
      </x:c>
    </x:row>
    <x:row r="22">
      <x:c r="A22" t="s">
        <x:v>369</x:v>
      </x:c>
      <x:c r="B22" s="5">
        <x:v>17</x:v>
      </x:c>
    </x:row>
    <x:row r="23">
      <x:c r="A23" t="s">
        <x:v>370</x:v>
      </x:c>
      <x:c r="B23" s="5">
        <x:v>0</x:v>
      </x:c>
    </x:row>
    <x:row r="24">
      <x:c r="A24" t="s">
        <x:v>371</x:v>
      </x:c>
      <x:c r="B24" s="5" t="s">
        <x:v>372</x:v>
      </x:c>
    </x:row>
    <x:row r="25">
      <x:c r="A25" t="s">
        <x:v>373</x:v>
      </x:c>
      <x:c r="B25" s="5" t="s">
        <x:v>374</x:v>
      </x:c>
    </x:row>
    <x:row r="26">
      <x:c r="A26" t="s">
        <x:v>375</x:v>
      </x:c>
      <x:c r="B26" s="5" t="s">
        <x:v>376</x:v>
      </x:c>
    </x:row>
    <x:row r="27">
      <x:c r="A27" t="s">
        <x:v>377</x:v>
      </x:c>
      <x:c r="B27" s="5" t="s">
        <x:v>351</x:v>
      </x:c>
    </x:row>
    <x:row r="28">
      <x:c r="A28" t="s">
        <x:v>378</x:v>
      </x:c>
      <x:c r="B28" s="5" t="s">
        <x:v>379</x:v>
      </x:c>
    </x:row>
    <x:row r="29">
      <x:c r="A29" t="s">
        <x:v>380</x:v>
      </x:c>
      <x:c r="B29" s="5" t="s">
        <x:v>381</x:v>
      </x:c>
    </x:row>
    <x:row r="30">
      <x:c r="A30" t="s">
        <x:v>382</x:v>
      </x:c>
      <x:c r="B30" s="5" t="s">
        <x:v>383</x:v>
      </x:c>
    </x:row>
    <x:row r="31">
      <x:c r="A31" t="s">
        <x:v>384</x:v>
      </x:c>
      <x:c r="B31" s="5" t="s">
        <x:v>385</x:v>
      </x:c>
    </x:row>
    <x:row r="32">
      <x:c r="A32" t="s">
        <x:v>386</x:v>
      </x:c>
      <x:c r="B32" s="5" t="s">
        <x:v>387</x:v>
      </x:c>
    </x:row>
    <x:row r="33">
      <x:c r="A33" t="s">
        <x:v>388</x:v>
      </x:c>
      <x:c r="B33" s="5">
        <x:v>16</x:v>
      </x:c>
    </x:row>
    <x:row r="34">
      <x:c r="A34" t="s">
        <x:v>389</x:v>
      </x:c>
      <x:c r="B34" s="5">
        <x:v>8</x:v>
      </x:c>
    </x:row>
    <x:row r="35">
      <x:c r="A35" t="s">
        <x:v>390</x:v>
      </x:c>
      <x:c r="B35" s="5">
        <x:v>15966171136</x:v>
      </x:c>
    </x:row>
    <x:row r="36">
      <x:c r="A36" t="s">
        <x:v>391</x:v>
      </x:c>
      <x:c r="B36" s="5" t="s">
        <x:v>360</x:v>
      </x:c>
    </x:row>
    <x:row r="37">
      <x:c r="A37" t="s">
        <x:v>392</x:v>
      </x:c>
      <x:c r="B37" s="5" t="s">
        <x:v>393</x:v>
      </x:c>
    </x:row>
    <x:row r="38">
      <x:c r="A38" t="s">
        <x:v>394</x:v>
      </x:c>
      <x:c r="B38" s="5" t="s">
        <x:v>395</x:v>
      </x:c>
    </x:row>
    <x:row r="39">
      <x:c r="A39" t="s">
        <x:v>396</x:v>
      </x:c>
      <x:c r="B39" s="5" t="s">
        <x:v>397</x:v>
      </x:c>
    </x:row>
    <x:row r="40">
      <x:c r="A40" t="s">
        <x:v>398</x:v>
      </x:c>
      <x:c r="B40" s="5" t="s">
        <x:v>397</x:v>
      </x:c>
    </x:row>
    <x:row r="41">
      <x:c r="A41" t="s">
        <x:v>399</x:v>
      </x:c>
      <x:c r="B41" s="5" t="b">
        <x:v>1</x:v>
      </x:c>
    </x:row>
    <x:row r="42">
      <x:c r="A42" t="s">
        <x:v>400</x:v>
      </x:c>
      <x:c r="B42" s="5" t="s">
        <x:v>345</x:v>
      </x:c>
    </x:row>
    <x:row r="43">
      <x:c r="A43" t="s">
        <x:v>401</x:v>
      </x:c>
      <x:c r="B43" s="5" t="s">
        <x:v>402</x:v>
      </x:c>
    </x:row>
    <x:row r="44">
      <x:c r="A44" t="s">
        <x:v>403</x:v>
      </x:c>
      <x:c r="B44" s="5" t="s">
        <x:v>404</x:v>
      </x:c>
    </x:row>
    <x:row r="45">
      <x:c r="A45" t="s">
        <x:v>405</x:v>
      </x:c>
      <x:c r="B45" s="5" t="s">
        <x:v>406</x:v>
      </x:c>
    </x:row>
    <x:row r="46">
      <x:c r="A46" t="s">
        <x:v>407</x:v>
      </x:c>
      <x:c r="B46" s="5" t="s">
        <x:v>408</x:v>
      </x:c>
    </x:row>
    <x:row r="47">
      <x:c r="A47" t="s">
        <x:v>409</x:v>
      </x:c>
      <x:c r="B47" s="5" t="s">
        <x:v>410</x:v>
      </x:c>
    </x:row>
    <x:row r="48">
      <x:c r="A48" t="s">
        <x:v>411</x:v>
      </x:c>
      <x:c r="B48" s="5" t="s">
        <x:v>412</x:v>
      </x:c>
    </x:row>
    <x:row r="49">
      <x:c r="A49" t="s">
        <x:v>413</x:v>
      </x:c>
      <x:c r="B49" s="5" t="s">
        <x:v>414</x:v>
      </x:c>
    </x:row>
    <x:row r="50">
      <x:c r="A50" t="s">
        <x:v>415</x:v>
      </x:c>
      <x:c r="B50" s="5" t="b">
        <x:v>1</x:v>
      </x:c>
    </x:row>
    <x:row r="51">
      <x:c r="A51" t="s">
        <x:v>416</x:v>
      </x:c>
      <x:c r="B51" s="5" t="s">
        <x:v>397</x:v>
      </x:c>
    </x:row>
    <x:row r="52">
      <x:c r="A52" t="s">
        <x:v>417</x:v>
      </x:c>
      <x:c r="B52" s="5" t="s">
        <x:v>397</x:v>
      </x:c>
    </x:row>
    <x:row r="53">
      <x:c r="A53" t="s">
        <x:v>418</x:v>
      </x:c>
      <x:c r="B53" s="5">
        <x:v>30</x:v>
      </x:c>
    </x:row>
    <x:row r="54">
      <x:c r="A54" t="s">
        <x:v>419</x:v>
      </x:c>
      <x:c r="B54" s="5">
        <x:v>1</x:v>
      </x:c>
    </x:row>
    <x:row r="55">
      <x:c r="A55" t="s">
        <x:v>420</x:v>
      </x:c>
      <x:c r="B55" s="5">
        <x:v>3</x:v>
      </x:c>
    </x:row>
    <x:row r="56">
      <x:c r="A56" t="s">
        <x:v>421</x:v>
      </x:c>
      <x:c r="B56" s="5">
        <x:v>300</x:v>
      </x:c>
    </x:row>
    <x:row r="57">
      <x:c r="A57" t="s">
        <x:v>422</x:v>
      </x:c>
      <x:c r="B57" s="5">
        <x:v>30</x:v>
      </x:c>
    </x:row>
    <x:row r="58">
      <x:c r="A58" t="s">
        <x:v>423</x:v>
      </x:c>
      <x:c r="B58" s="5">
        <x:v>50</x:v>
      </x:c>
    </x:row>
    <x:row r="59">
      <x:c r="A59" t="s">
        <x:v>424</x:v>
      </x:c>
      <x:c r="B59" s="5">
        <x:v>50</x:v>
      </x:c>
    </x:row>
    <x:row r="60">
      <x:c r="A60" t="s">
        <x:v>425</x:v>
      </x:c>
      <x:c r="B60" s="5">
        <x:v>75</x:v>
      </x:c>
    </x:row>
    <x:row r="61">
      <x:c r="A61" t="s">
        <x:v>426</x:v>
      </x:c>
      <x:c r="B61" s="5">
        <x:v>20</x:v>
      </x:c>
    </x:row>
    <x:row r="62">
      <x:c r="A62" t="s">
        <x:v>427</x:v>
      </x:c>
      <x:c r="B62" s="5">
        <x:v>50</x:v>
      </x:c>
    </x:row>
    <x:row r="63">
      <x:c r="A63" t="s">
        <x:v>428</x:v>
      </x:c>
      <x:c r="B63" s="5">
        <x:v>50</x:v>
      </x:c>
    </x:row>
    <x:row r="64">
      <x:c r="A64" t="s">
        <x:v>429</x:v>
      </x:c>
      <x:c r="B64" s="5">
        <x:v>6</x:v>
      </x:c>
    </x:row>
    <x:row r="65">
      <x:c r="A65" t="s">
        <x:v>430</x:v>
      </x:c>
      <x:c r="B65" s="5">
        <x:v>20</x:v>
      </x:c>
    </x:row>
    <x:row r="66">
      <x:c r="A66" t="s">
        <x:v>431</x:v>
      </x:c>
      <x:c r="B66" s="5">
        <x:v>50</x:v>
      </x:c>
    </x:row>
    <x:row r="67">
      <x:c r="A67" t="s">
        <x:v>432</x:v>
      </x:c>
      <x:c r="B67" s="5">
        <x:v>50</x:v>
      </x:c>
    </x:row>
    <x:row r="68">
      <x:c r="A68" t="s">
        <x:v>433</x:v>
      </x:c>
      <x:c r="B68" s="5">
        <x:v>15</x:v>
      </x:c>
    </x:row>
    <x:row r="69">
      <x:c r="A69" t="s">
        <x:v>434</x:v>
      </x:c>
      <x:c r="B69" s="5" t="b">
        <x:v>1</x:v>
      </x:c>
    </x:row>
    <x:row r="70">
      <x:c r="A70" t="s">
        <x:v>435</x:v>
      </x:c>
      <x:c r="B70" s="5">
        <x:v>30</x:v>
      </x:c>
    </x:row>
    <x:row r="71">
      <x:c r="A71" t="s">
        <x:v>436</x:v>
      </x:c>
      <x:c r="B71" s="5">
        <x:v>2.466666666666667</x:v>
      </x:c>
    </x:row>
    <x:row r="72">
      <x:c r="A72" t="s">
        <x:v>437</x:v>
      </x:c>
      <x:c r="B72" s="5">
        <x:v>25.66666666666667</x:v>
      </x:c>
    </x:row>
    <x:row r="73">
      <x:c r="A73" t="s">
        <x:v>438</x:v>
      </x:c>
      <x:c r="B73" s="5">
        <x:v>18.66666666666667</x:v>
      </x:c>
    </x:row>
    <x:row r="74">
      <x:c r="A74" t="s">
        <x:v>439</x:v>
      </x:c>
      <x:c r="B74" s="5">
        <x:v>40</x:v>
      </x:c>
    </x:row>
    <x:row r="75">
      <x:c r="A75" t="s">
        <x:v>440</x:v>
      </x:c>
      <x:c r="B75" s="5">
        <x:v>5.046666666666667</x:v>
      </x:c>
    </x:row>
    <x:row r="76">
      <x:c r="A76" t="s">
        <x:v>441</x:v>
      </x:c>
      <x:c r="B76" s="5">
        <x:v>210</x:v>
      </x:c>
    </x:row>
    <x:row r="77">
      <x:c r="A77" t="s">
        <x:v>442</x:v>
      </x:c>
      <x:c r="B77" s="5">
        <x:v>405</x:v>
      </x:c>
    </x:row>
  </x:sheetData>
  <x:pageMargins left="0.7" right="0.7" top="0.75" bottom="0.75" header="0.3" footer="0.3"/>
  <x:tableParts count="1">
    <x:tablePart xmlns:r="http://schemas.openxmlformats.org/officeDocument/2006/relationships" r:id="R84c653170e734c3d"/>
  </x:tableParts>
</x:worksheet>
</file>

<file path=xl/worksheets/sheet8.xml><?xml version="1.0" encoding="utf-8"?>
<x:worksheet xmlns:x="http://schemas.openxmlformats.org/spreadsheetml/2006/main">
  <x:sheetFormatPr defaultRowHeight="15"/>
  <x:sheetData>
    <x:row r="1">
      <x:c r="A1" t="s">
        <x:v>60</x:v>
      </x:c>
      <x:c r="B1" t="s">
        <x:v>83</x:v>
      </x:c>
      <x:c r="C1" t="s">
        <x:v>36</x:v>
      </x:c>
      <x:c r="D1" t="s">
        <x:v>288</x:v>
      </x:c>
    </x:row>
    <x:row r="2">
      <x:c r="A2" t="str">
        <x:f>'분석결과'!A2</x:f>
        <x:v>B01</x:v>
      </x:c>
      <x:c r="B2" t="n">
        <x:f>'분석결과'!L2</x:f>
        <x:v>45.82025699710357</x:v>
      </x:c>
      <x:c r="C2" t="n">
        <x:f>'분석결과'!G2</x:f>
        <x:v>0.6026426958851505</x:v>
      </x:c>
      <x:c r="D2" t="n">
        <x:f>'분석결과'!T2</x:f>
        <x:v>129.33994674682617</x:v>
      </x:c>
    </x:row>
    <x:row r="3">
      <x:c r="A3" t="str">
        <x:f>'분석결과'!A3</x:f>
        <x:v>B02</x:v>
      </x:c>
      <x:c r="B3" t="n">
        <x:f>'분석결과'!L3</x:f>
        <x:v>25.77521049897769</x:v>
      </x:c>
      <x:c r="C3" t="n">
        <x:f>'분석결과'!G3</x:f>
        <x:v>0.6017216878776938</x:v>
      </x:c>
      <x:c r="D3" t="n">
        <x:f>'분석결과'!T3</x:f>
        <x:v>67.94259262084961</x:v>
      </x:c>
    </x:row>
    <x:row r="4">
      <x:c r="A4" t="str">
        <x:f>'분석결과'!A4</x:f>
        <x:v>B03</x:v>
      </x:c>
      <x:c r="B4" t="n">
        <x:f>'분석결과'!L4</x:f>
        <x:v>25.36000149848405</x:v>
      </x:c>
      <x:c r="C4" t="n">
        <x:f>'분석결과'!G4</x:f>
        <x:v>0.602749828431408</x:v>
      </x:c>
      <x:c r="D4" t="n">
        <x:f>'분석결과'!T4</x:f>
        <x:v>68.00632095336914</x:v>
      </x:c>
    </x:row>
    <x:row r="5">
      <x:c r="A5" t="str">
        <x:f>'분석결과'!A5</x:f>
        <x:v>M01</x:v>
      </x:c>
      <x:c r="B5" t="n">
        <x:f>'분석결과'!L5</x:f>
        <x:v>25.38651549912174</x:v>
      </x:c>
      <x:c r="C5" t="n">
        <x:f>'분석결과'!G5</x:f>
        <x:v>0.517988143310128</x:v>
      </x:c>
      <x:c r="D5" t="n">
        <x:f>'분석결과'!T5</x:f>
        <x:v>67.89997482299805</x:v>
      </x:c>
    </x:row>
    <x:row r="6">
      <x:c r="A6" t="str">
        <x:f>'분석결과'!A6</x:f>
        <x:v>M02</x:v>
      </x:c>
      <x:c r="B6" t="n">
        <x:f>'분석결과'!L6</x:f>
        <x:v>25.26247049900121</x:v>
      </x:c>
      <x:c r="C6" t="n">
        <x:f>'분석결과'!G6</x:f>
        <x:v>0.5148480302335408</x:v>
      </x:c>
      <x:c r="D6" t="n">
        <x:f>'분석결과'!T6</x:f>
        <x:v>62.39285659790039</x:v>
      </x:c>
    </x:row>
    <x:row r="7">
      <x:c r="A7" t="str">
        <x:f>'분석결과'!A7</x:f>
        <x:v>S01</x:v>
      </x:c>
      <x:c r="B7" t="n">
        <x:f>'분석결과'!L7</x:f>
        <x:v>44.50986200026819</x:v>
      </x:c>
      <x:c r="C7" t="n">
        <x:f>'분석결과'!G7</x:f>
        <x:v>0.6022300056180777</x:v>
      </x:c>
      <x:c r="D7" t="n">
        <x:f>'분석결과'!T7</x:f>
        <x:v>123.25446701049805</x:v>
      </x:c>
    </x:row>
    <x:row r="8">
      <x:c r="A8" t="str">
        <x:f>'분석결과'!A8</x:f>
        <x:v>S02</x:v>
      </x:c>
      <x:c r="B8" t="n">
        <x:f>'분석결과'!L8</x:f>
        <x:v>42.95711550003034</x:v>
      </x:c>
      <x:c r="C8" t="n">
        <x:f>'분석결과'!G8</x:f>
        <x:v>0.5850419797466627</x:v>
      </x:c>
      <x:c r="D8" t="n">
        <x:f>'분석결과'!T8</x:f>
        <x:v>117.18737411499023</x:v>
      </x:c>
    </x:row>
    <x:row r="9">
      <x:c r="A9" t="str">
        <x:f>'분석결과'!A9</x:f>
        <x:v>S04</x:v>
      </x:c>
      <x:c r="B9" t="n">
        <x:f>'분석결과'!L9</x:f>
        <x:v>45.76865499984706</x:v>
      </x:c>
      <x:c r="C9" t="n">
        <x:f>'분석결과'!G9</x:f>
        <x:v>0.5213500016890231</x:v>
      </x:c>
      <x:c r="D9" t="n">
        <x:f>'분석결과'!T9</x:f>
        <x:v>121.19233322143555</x:v>
      </x:c>
    </x:row>
    <x:row r="10">
      <x:c r="A10" t="str">
        <x:f>'분석결과'!A10</x:f>
        <x:v>C01</x:v>
      </x:c>
      <x:c r="B10" t="n">
        <x:f>'분석결과'!L10</x:f>
        <x:v>25.29960950050736</x:v>
      </x:c>
      <x:c r="C10" t="n">
        <x:f>'분석결과'!G10</x:f>
        <x:v>0.6029119261351803</x:v>
      </x:c>
      <x:c r="D10" t="n">
        <x:f>'분석결과'!T10</x:f>
        <x:v>64.7291145324707</x:v>
      </x:c>
    </x:row>
    <x:row r="11">
      <x:c r="A11" t="str">
        <x:f>'분석결과'!A11</x:f>
        <x:v>C02</x:v>
      </x:c>
      <x:c r="B11" t="n">
        <x:f>'분석결과'!L11</x:f>
        <x:v>26.18279599846574</x:v>
      </x:c>
      <x:c r="C11" t="n">
        <x:f>'분석결과'!G11</x:f>
        <x:v>0.6023425986945383</x:v>
      </x:c>
      <x:c r="D11" t="n">
        <x:f>'분석결과'!T11</x:f>
        <x:v>64.81132125854492</x:v>
      </x:c>
    </x:row>
    <x:row r="12">
      <x:c r="A12" t="str">
        <x:f>'분석결과'!A12</x:f>
        <x:v>C03</x:v>
      </x:c>
      <x:c r="B12" t="n">
        <x:f>'분석결과'!L12</x:f>
        <x:v>36.29605549576809</x:v>
      </x:c>
      <x:c r="C12" t="n">
        <x:f>'분석결과'!G12</x:f>
        <x:v>0.5939927335145</x:v>
      </x:c>
      <x:c r="D12" t="n">
        <x:f>'분석결과'!T12</x:f>
        <x:v>122.59409713745117</x:v>
      </x:c>
    </x:row>
    <x:row r="13">
      <x:c r="A13" t="str">
        <x:f>'분석결과'!A13</x:f>
        <x:v>C04</x:v>
      </x:c>
      <x:c r="B13" t="n">
        <x:f>'분석결과'!L13</x:f>
        <x:v>41.97326050052652</x:v>
      </x:c>
      <x:c r="C13" t="n">
        <x:f>'분석결과'!G13</x:f>
        <x:v>0.599605674186933</x:v>
      </x:c>
      <x:c r="D13" t="n">
        <x:f>'분석결과'!T13</x:f>
        <x:v>122.99455642700195</x:v>
      </x:c>
    </x:row>
    <x:row r="14">
      <x:c r="A14" t="str">
        <x:f>'분석결과'!A14</x:f>
        <x:v>R01</x:v>
      </x:c>
      <x:c r="B14" t="n">
        <x:f>'분석결과'!L14</x:f>
        <x:v>24.01029550310341</x:v>
      </x:c>
      <x:c r="C14" t="n">
        <x:f>'분석결과'!G14</x:f>
        <x:v>0.5941087991992697</x:v>
      </x:c>
      <x:c r="D14" t="n">
        <x:f>'분석결과'!T14</x:f>
        <x:v>68.05361557006836</x:v>
      </x:c>
    </x:row>
    <x:row r="15">
      <x:c r="A15" t="str">
        <x:f>'분석결과'!A15</x:f>
        <x:v>R02</x:v>
      </x:c>
      <x:c r="B15" t="n">
        <x:f>'분석결과'!L15</x:f>
        <x:v>42.96294300002046</x:v>
      </x:c>
      <x:c r="C15" t="n">
        <x:f>'분석결과'!G15</x:f>
        <x:v>0.5997268915175692</x:v>
      </x:c>
      <x:c r="D15" t="n">
        <x:f>'분석결과'!T15</x:f>
        <x:v>129.08879470825195</x:v>
      </x:c>
    </x:row>
    <x:row r="16">
      <x:c r="A16" t="str">
        <x:f>'분석결과'!A16</x:f>
        <x:v>R03</x:v>
      </x:c>
      <x:c r="B16" t="n">
        <x:f>'분석결과'!L16</x:f>
        <x:v>32.38640950439731</x:v>
      </x:c>
      <x:c r="C16" t="n">
        <x:f>'분석결과'!G16</x:f>
        <x:v>0.5865409277639649</x:v>
      </x:c>
      <x:c r="D16" t="n">
        <x:f>'분석결과'!T16</x:f>
        <x:v>128.2463264465332</x:v>
      </x:c>
    </x:row>
    <x:row r="17">
      <x:c r="A17" t="str">
        <x:f>'분석결과'!A17</x:f>
        <x:v>Q01</x:v>
      </x:c>
      <x:c r="B17" t="n">
        <x:f>'분석결과'!L17</x:f>
        <x:v>25.11397199850762</x:v>
      </x:c>
      <x:c r="C17" t="n">
        <x:f>'분석결과'!G17</x:f>
        <x:v>0.47432176245291</x:v>
      </x:c>
      <x:c r="D17" t="n">
        <x:f>'분석결과'!T17</x:f>
        <x:v>47.81473159790039</x:v>
      </x:c>
    </x:row>
    <x:row r="18">
      <x:c r="A18" t="str">
        <x:f>'분석결과'!A18</x:f>
        <x:v>Q02</x:v>
      </x:c>
      <x:c r="B18" t="n">
        <x:f>'분석결과'!L18</x:f>
        <x:v>25.18349350066273</x:v>
      </x:c>
      <x:c r="C18" t="n">
        <x:f>'분석결과'!G18</x:f>
        <x:v>0.4832228135826049</x:v>
      </x:c>
      <x:c r="D18" t="n">
        <x:f>'분석결과'!T18</x:f>
        <x:v>43.38985061645508</x:v>
      </x:c>
    </x:row>
    <x:row r="19">
      <x:c r="A19" t="str">
        <x:f>'분석결과'!A20</x:f>
        <x:v>Q04</x:v>
      </x:c>
      <x:c r="B19" t="n">
        <x:f>'분석결과'!L20</x:f>
        <x:v>37.99387800245313</x:v>
      </x:c>
      <x:c r="C19" t="n">
        <x:f>'분석결과'!G20</x:f>
        <x:v>0.3702262102000943</x:v>
      </x:c>
      <x:c r="D19" t="n">
        <x:f>'분석결과'!T20</x:f>
        <x:v>48.07638931274414</x:v>
      </x:c>
    </x:row>
    <x:row r="20">
      <x:c r="A20" t="str">
        <x:f>'분석결과'!A21</x:f>
        <x:v>Q05</x:v>
      </x:c>
      <x:c r="B20" t="n">
        <x:f>'분석결과'!L21</x:f>
        <x:v>43.33256249810802</x:v>
      </x:c>
      <x:c r="C20" t="n">
        <x:f>'분석결과'!G21</x:f>
        <x:v>0.5980977119052601</x:v>
      </x:c>
      <x:c r="D20" t="n">
        <x:f>'분석결과'!T21</x:f>
        <x:v>111.8322868347168</x:v>
      </x:c>
    </x:row>
    <x:row r="21">
      <x:c r="A21" t="str">
        <x:f>'분석결과'!A22</x:f>
        <x:v>Q06</x:v>
      </x:c>
      <x:c r="B21" t="n">
        <x:f>'분석결과'!L22</x:f>
        <x:v>39.40890300145838</x:v>
      </x:c>
      <x:c r="C21" t="n">
        <x:f>'분석결과'!G22</x:f>
        <x:v>0.3540556583177658</x:v>
      </x:c>
      <x:c r="D21" t="n">
        <x:f>'분석결과'!T22</x:f>
        <x:v>64.76676559448242</x:v>
      </x:c>
    </x:row>
    <x:row r="22">
      <x:c r="A22" t="str">
        <x:f>'분석결과'!A23</x:f>
        <x:v>Q07</x:v>
      </x:c>
      <x:c r="B22" t="n">
        <x:f>'분석결과'!L23</x:f>
        <x:v>38.29855150252115</x:v>
      </x:c>
      <x:c r="C22" t="n">
        <x:f>'분석결과'!G23</x:f>
        <x:v>0.3579247452931818</x:v>
      </x:c>
      <x:c r="D22" t="n">
        <x:f>'분석결과'!T23</x:f>
        <x:v>52.98740005493164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00A6A6"/>
  </x:sheetPr>
  <x:sheetViews>
    <x:sheetView showGridLines="0" workbookViewId="0"/>
  </x:sheetViews>
  <x:sheetFormatPr defaultRowHeight="15"/>
  <x:cols>
    <x:col min="1" max="1" width="3.7109375" customWidth="1"/>
    <x:col min="2" max="9" width="16.7109375" customWidth="1"/>
    <x:col min="10" max="10" width="3.7109375" customWidth="1"/>
    <x:col min="11" max="18" width="14.7109375" customWidth="1"/>
  </x:cols>
  <x:sheetData>
    <x:row r="1" ht="34" customHeight="1"/>
    <x:row r="2">
      <x:c r="B2" s="9" t="s">
        <x:v>443</x:v>
      </x:c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</x:row>
    <x:row r="3"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9"/>
      <x:c r="R3" s="9"/>
    </x:row>
    <x:row r="4">
      <x:c r="B4" s="10" t="s">
        <x:v>444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</x:row>
    <x:row r="5"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</x:row>
    <x:row r="7">
      <x:c r="B7" s="11" t="s">
        <x:v>445</x:v>
      </x:c>
      <x:c r="C7" s="11"/>
      <x:c r="D7" s="11" t="s">
        <x:v>446</x:v>
      </x:c>
      <x:c r="E7" s="11"/>
      <x:c r="F7" s="11" t="s">
        <x:v>447</x:v>
      </x:c>
      <x:c r="G7" s="11"/>
      <x:c r="H7" s="11" t="s">
        <x:v>448</x:v>
      </x:c>
      <x:c r="I7" s="11"/>
      <x:c r="J7" s="11" t="s">
        <x:v>449</x:v>
      </x:c>
      <x:c r="K7" s="11"/>
      <x:c r="L7" s="11" t="s">
        <x:v>450</x:v>
      </x:c>
      <x:c r="M7" s="11"/>
      <x:c r="N7" s="11" t="s">
        <x:v>296</x:v>
      </x:c>
      <x:c r="O7" s="11"/>
      <x:c r="P7" s="11" t="s">
        <x:v>451</x:v>
      </x:c>
      <x:c r="Q7" s="11"/>
    </x:row>
    <x:row r="8">
      <x:c r="B8" s="12">
        <x:v>26</x:v>
      </x:c>
      <x:c r="C8" s="12"/>
      <x:c r="D8" s="12">
        <x:v>22</x:v>
      </x:c>
      <x:c r="E8" s="12"/>
      <x:c r="F8" s="12">
        <x:v>21</x:v>
      </x:c>
      <x:c r="G8" s="12"/>
      <x:c r="H8" s="12">
        <x:v>1</x:v>
      </x:c>
      <x:c r="I8" s="12"/>
      <x:c r="J8" s="12">
        <x:v>0</x:v>
      </x:c>
      <x:c r="K8" s="12"/>
      <x:c r="L8" s="12">
        <x:v>11</x:v>
      </x:c>
      <x:c r="M8" s="12"/>
      <x:c r="N8" s="12">
        <x:v>2</x:v>
      </x:c>
      <x:c r="O8" s="12"/>
      <x:c r="P8" s="12">
        <x:v>2</x:v>
      </x:c>
      <x:c r="Q8" s="12"/>
    </x:row>
    <x:row r="9"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</x:row>
    <x:row r="11">
      <x:c r="B11" s="2" t="s">
        <x:v>452</x:v>
      </x:c>
      <x:c r="C11" s="2"/>
      <x:c r="D11" s="2"/>
      <x:c r="E11" s="2"/>
      <x:c r="F11" s="2"/>
      <x:c r="G11" s="2"/>
      <x:c r="H11" s="2"/>
      <x:c r="I11" s="2"/>
      <x:c r="K11" s="2" t="s">
        <x:v>453</x:v>
      </x:c>
      <x:c r="L11" s="2"/>
      <x:c r="M11" s="2"/>
      <x:c r="N11" s="2"/>
      <x:c r="O11" s="2"/>
      <x:c r="P11" s="2"/>
      <x:c r="Q11" s="2"/>
      <x:c r="R11" s="2"/>
    </x:row>
    <x:row r="12">
      <x:c r="B12" s="5" t="s">
        <x:v>454</x:v>
      </x:c>
      <x:c r="C12" s="5"/>
      <x:c r="D12" s="5"/>
      <x:c r="E12" s="5"/>
      <x:c r="F12" s="5"/>
      <x:c r="G12" s="5"/>
      <x:c r="H12" s="5"/>
      <x:c r="I12" s="5"/>
      <x:c r="K12" s="13" t="s">
        <x:v>455</x:v>
      </x:c>
      <x:c r="L12" t="s">
        <x:v>456</x:v>
      </x:c>
    </x:row>
    <x:row r="13">
      <x:c r="B13" s="5"/>
      <x:c r="C13" s="5"/>
      <x:c r="D13" s="5"/>
      <x:c r="E13" s="5"/>
      <x:c r="F13" s="5"/>
      <x:c r="G13" s="5"/>
      <x:c r="H13" s="5"/>
      <x:c r="I13" s="5"/>
      <x:c r="K13" s="13" t="s">
        <x:v>457</x:v>
      </x:c>
      <x:c r="L13" t="s">
        <x:v>458</x:v>
      </x:c>
    </x:row>
    <x:row r="14">
      <x:c r="B14" s="5"/>
      <x:c r="C14" s="5"/>
      <x:c r="D14" s="5"/>
      <x:c r="E14" s="5"/>
      <x:c r="F14" s="5"/>
      <x:c r="G14" s="5"/>
      <x:c r="H14" s="5"/>
      <x:c r="I14" s="5"/>
      <x:c r="K14" s="13" t="s">
        <x:v>459</x:v>
      </x:c>
      <x:c r="L14" t="s">
        <x:v>460</x:v>
      </x:c>
    </x:row>
    <x:row r="15">
      <x:c r="B15" s="5"/>
      <x:c r="C15" s="5"/>
      <x:c r="D15" s="5"/>
      <x:c r="E15" s="5"/>
      <x:c r="F15" s="5"/>
      <x:c r="G15" s="5"/>
      <x:c r="H15" s="5"/>
      <x:c r="I15" s="5"/>
      <x:c r="K15" s="13" t="s">
        <x:v>461</x:v>
      </x:c>
      <x:c r="L15" t="s">
        <x:v>462</x:v>
      </x:c>
    </x:row>
    <x:row r="16">
      <x:c r="B16" s="5"/>
      <x:c r="C16" s="5"/>
      <x:c r="D16" s="5"/>
      <x:c r="E16" s="5"/>
      <x:c r="F16" s="5"/>
      <x:c r="G16" s="5"/>
      <x:c r="H16" s="5"/>
      <x:c r="I16" s="5"/>
      <x:c r="K16" s="13" t="s">
        <x:v>463</x:v>
      </x:c>
      <x:c r="L16" t="s">
        <x:v>464</x:v>
      </x:c>
    </x:row>
    <x:row r="17">
      <x:c r="K17" s="13" t="s">
        <x:v>465</x:v>
      </x:c>
      <x:c r="L17" t="s">
        <x:v>466</x:v>
      </x:c>
    </x:row>
    <x:row r="18">
      <x:c r="K18" s="13" t="s">
        <x:v>467</x:v>
      </x:c>
      <x:c r="L18" t="s">
        <x:v>468</x:v>
      </x:c>
    </x:row>
  </x:sheetData>
  <x:mergeCells>
    <x:mergeCell ref="B2:R3"/>
    <x:mergeCell ref="B4:R5"/>
    <x:mergeCell ref="B7:C7"/>
    <x:mergeCell ref="B8:C9"/>
    <x:mergeCell ref="D7:E7"/>
    <x:mergeCell ref="D8:E9"/>
    <x:mergeCell ref="F7:G7"/>
    <x:mergeCell ref="F8:G9"/>
    <x:mergeCell ref="H7:I7"/>
    <x:mergeCell ref="H8:I9"/>
    <x:mergeCell ref="J7:K7"/>
    <x:mergeCell ref="J8:K9"/>
    <x:mergeCell ref="L7:M7"/>
    <x:mergeCell ref="L8:M9"/>
    <x:mergeCell ref="N7:O7"/>
    <x:mergeCell ref="N8:O9"/>
    <x:mergeCell ref="P7:Q7"/>
    <x:mergeCell ref="P8:Q9"/>
    <x:mergeCell ref="B11:I11"/>
    <x:mergeCell ref="B12:I16"/>
    <x:mergeCell ref="K11:R11"/>
    <x:mergeCell ref="L12:R12"/>
    <x:mergeCell ref="L13:R13"/>
    <x:mergeCell ref="L14:R14"/>
    <x:mergeCell ref="L15:R15"/>
    <x:mergeCell ref="L16:R16"/>
    <x:mergeCell ref="L17:R17"/>
    <x:mergeCell ref="L18:R18"/>
  </x:mergeCells>
  <x:hyperlinks>
    <x:hyperlink ref="K12" location="'분석결과'!A1"/>
    <x:hyperlink ref="K13" location="'원시결과'!A1"/>
    <x:hyperlink ref="K14" location="'클래스별 정확도'!A1"/>
    <x:hyperlink ref="K15" location="'반복측정'!A1"/>
    <x:hyperlink ref="K16" location="'실패·제외'!A1"/>
    <x:hyperlink ref="K17" location="'평가기준'!A1"/>
    <x:hyperlink ref="K18" location="'실험환경'!A1"/>
  </x:hyperlinks>
  <x:pageMargins left="0.7" right="0.7" top="0.75" bottom="0.75" header="0.3" footer="0.3"/>
  <x:drawing xmlns:r="http://schemas.openxmlformats.org/officeDocument/2006/relationships" r:id="R059e2a49362842bd"/>
</x:worksheet>
</file>