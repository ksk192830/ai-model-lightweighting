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8"/>
  </bookViews>
  <sheets>
    <sheet name="평가기준" sheetId="1" r:id="rId1"/>
    <sheet name="원시결과" sheetId="2" r:id="rId2"/>
    <sheet name="분석결과" sheetId="3" r:id="rId3"/>
    <sheet name="실패·제외" sheetId="4" r:id="rId4"/>
    <sheet name="클래스별 정확도" sheetId="5" r:id="rId5"/>
    <sheet name="반복측정" sheetId="6" r:id="rId6"/>
    <sheet name="실험환경" sheetId="7" r:id="rId7"/>
    <sheet name="_차트데이터" sheetId="8" state="hidden" r:id="rId8"/>
    <sheet name="요약" sheetId="9" r:id="rId9"/>
  </sheets>
  <calcPr calcId="124519" fullCalcOnLoad="1"/>
</workbook>
</file>

<file path=xl/sharedStrings.xml><?xml version="1.0" encoding="utf-8"?>
<sst xmlns="http://schemas.openxmlformats.org/spreadsheetml/2006/main" count="1327" uniqueCount="469">
  <si>
    <t>항목</t>
  </si>
  <si>
    <t>고정값</t>
  </si>
  <si>
    <t>해석·재현 규칙</t>
  </si>
  <si>
    <t>평가 데이터</t>
  </si>
  <si>
    <t>data/training/front_session_split_v1/test</t>
  </si>
  <si>
    <t>누수 방지 후 고정한 test split만 정확도 평가에 사용</t>
  </si>
  <si>
    <t>평가 이미지 수</t>
  </si>
  <si>
    <t>모든 성공 후보에서 반드시 동일</t>
  </si>
  <si>
    <t>COCO AP confidence 최소값</t>
  </si>
  <si>
    <t>점수 곡선을 보존하기 위한 낮은 수집 threshold</t>
  </si>
  <si>
    <t>Semantic mIoU threshold</t>
  </si>
  <si>
    <t>배포 운용점에서 클래스별 instance mask를 합집합</t>
  </si>
  <si>
    <t>지연시간 표본 이미지</t>
  </si>
  <si>
    <t>seed 42로 선택된 동일 이미지 집합</t>
  </si>
  <si>
    <t>Warm-up / 반복당 측정</t>
  </si>
  <si>
    <t>20 / 200</t>
  </si>
  <si>
    <t>GPU 동기화 전후를 포함한 end-to-end in-memory 측정</t>
  </si>
  <si>
    <t>Benchmark 반복 횟수</t>
  </si>
  <si>
    <t>반복별 warm-up 후 통계를 재측정</t>
  </si>
  <si>
    <t>반복 median CV 경고선</t>
  </si>
  <si>
    <t>초과 시 제외하지 않고 재측정 필요 경고</t>
  </si>
  <si>
    <t>BBox AP 허용 하락</t>
  </si>
  <si>
    <t>B01 TensorRT 재측정값 대비 절대 하락 한계</t>
  </si>
  <si>
    <t>Mask AP 허용 하락</t>
  </si>
  <si>
    <t>Semantic mIoU 허용 하락</t>
  </si>
  <si>
    <t>실시간 목표 FPS</t>
  </si>
  <si>
    <t>최종 배포 후보 표시 기준</t>
  </si>
  <si>
    <t>Median latency 예산(ms)</t>
  </si>
  <si>
    <t>30 FPS frame period에 해당</t>
  </si>
  <si>
    <t>P95 latency 정책</t>
  </si>
  <si>
    <t>보조지표·경고 전용</t>
  </si>
  <si>
    <t>33.33 ms 초과 시 경고하되 배포·Pareto hard gate에는 사용하지 않음</t>
  </si>
  <si>
    <t>CV 5% 초과 처리</t>
  </si>
  <si>
    <t>지연시간 3회 전체 재측정 최대 1회</t>
  </si>
  <si>
    <t>두 번째 3회를 공식값으로 사용; 여전히 초과하면 최종 권장에서 제외</t>
  </si>
  <si>
    <t>Pareto 최대화</t>
  </si>
  <si>
    <t>Mask AP</t>
  </si>
  <si>
    <t>정확도 3종 보존 gate와 측정 유효성 통과 후 적용</t>
  </si>
  <si>
    <t>Pareto 최소화</t>
  </si>
  <si>
    <t>Median latency, engine size</t>
  </si>
  <si>
    <t>BBox AP, mIoU, P95, GPU memory는 보조지표</t>
  </si>
  <si>
    <t>보고 지표 정의</t>
  </si>
  <si>
    <t>지표</t>
  </si>
  <si>
    <t>정의</t>
  </si>
  <si>
    <t>BBox/Mask AP</t>
  </si>
  <si>
    <t>COCO AP@[IoU=.50:.05:.95], maxDets=100</t>
  </si>
  <si>
    <t>AP50 / AP75</t>
  </si>
  <si>
    <t>완화/엄격 IoU 조건의 위치·경계 품질</t>
  </si>
  <si>
    <t>AP small/medium/large</t>
  </si>
  <si>
    <t>객체 면적별 성능 편향 점검</t>
  </si>
  <si>
    <t>AR100</t>
  </si>
  <si>
    <t>이미지당 최대 100개 예측에서 평균 재현율</t>
  </si>
  <si>
    <t>Semantic mIoU</t>
  </si>
  <si>
    <t>클래스별 dataset intersection/union의 macro mean</t>
  </si>
  <si>
    <t>Median/P95/P99</t>
  </si>
  <si>
    <t>일반·tail latency를 함께 보고</t>
  </si>
  <si>
    <t>반복 median 95% CI</t>
  </si>
  <si>
    <t>3회 반복 median 평균의 t 구간</t>
  </si>
  <si>
    <t>GPU memory</t>
  </si>
  <si>
    <t>3회 측정 중 max allocated/reserved</t>
  </si>
  <si>
    <t>ID</t>
  </si>
  <si>
    <t>경량화 계열</t>
  </si>
  <si>
    <t>방식</t>
  </si>
  <si>
    <t>정밀도</t>
  </si>
  <si>
    <t>입력크기</t>
  </si>
  <si>
    <t>1차 판정</t>
  </si>
  <si>
    <t>1차 불통 사유</t>
  </si>
  <si>
    <t>2차 상태</t>
  </si>
  <si>
    <t>2차 실패 사유</t>
  </si>
  <si>
    <t>BBox AP</t>
  </si>
  <si>
    <t>BBox AP50</t>
  </si>
  <si>
    <t>BBox AP75</t>
  </si>
  <si>
    <t>BBox AP-small</t>
  </si>
  <si>
    <t>BBox AP-medium</t>
  </si>
  <si>
    <t>BBox AP-large</t>
  </si>
  <si>
    <t>BBox AR100</t>
  </si>
  <si>
    <t>Mask AP50</t>
  </si>
  <si>
    <t>Mask AP75</t>
  </si>
  <si>
    <t>Mask AP-small</t>
  </si>
  <si>
    <t>Mask AP-medium</t>
  </si>
  <si>
    <t>Mask AP-large</t>
  </si>
  <si>
    <t>Mask AR100</t>
  </si>
  <si>
    <t>Mean ms</t>
  </si>
  <si>
    <t>Median ms</t>
  </si>
  <si>
    <t>P95 ms</t>
  </si>
  <si>
    <t>P99 ms</t>
  </si>
  <si>
    <t>IQR ms</t>
  </si>
  <si>
    <t>전체 CV</t>
  </si>
  <si>
    <t>반복 Median CV</t>
  </si>
  <si>
    <t>반복 Median CI95 하한</t>
  </si>
  <si>
    <t>반복 Median CI95 상한</t>
  </si>
  <si>
    <t>FPS</t>
  </si>
  <si>
    <t>GPU allocated bytes</t>
  </si>
  <si>
    <t>GPU reserved bytes</t>
  </si>
  <si>
    <t>Engine bytes</t>
  </si>
  <si>
    <t>측정 반복 수</t>
  </si>
  <si>
    <t>총 latency 횟수</t>
  </si>
  <si>
    <t>Engine 경로</t>
  </si>
  <si>
    <t>평가 JSON</t>
  </si>
  <si>
    <t>Benchmark JSON 목록</t>
  </si>
  <si>
    <t>Test 이미지 수</t>
  </si>
  <si>
    <t>예측 수</t>
  </si>
  <si>
    <t>Engine SHA256</t>
  </si>
  <si>
    <t>Annotation SHA256</t>
  </si>
  <si>
    <t>전체 Benchmark JSON 목록</t>
  </si>
  <si>
    <t>CV 재측정 수행</t>
  </si>
  <si>
    <t>CV 재측정 횟수</t>
  </si>
  <si>
    <t>CV 불안정 미해결</t>
  </si>
  <si>
    <t>Latency 측정 라운드</t>
  </si>
  <si>
    <t>B01</t>
  </si>
  <si>
    <t>baseline</t>
  </si>
  <si>
    <t>none</t>
  </si>
  <si>
    <t>fp32</t>
  </si>
  <si>
    <t>1x3x504x504</t>
  </si>
  <si>
    <t>통과</t>
  </si>
  <si>
    <t>완료</t>
  </si>
  <si>
    <t>artifacts/experiments/B01/front/model.engine</t>
  </si>
  <si>
    <t>results/coco-evaluation/B01-front.json</t>
  </si>
  <si>
    <t>["results/benchmarks/notebook-controlled/20260904_104755/B01/repeat-01/front_tensorrt_fp32_20260904_104843.json", "results/benchmarks/notebook-controlled/20260904_104755/B01/repeat-02/front_tensorrt_fp32_20260904_104901.json", "results/benchmarks/notebook-controlled/20260904_104755/B01/repeat-03/front_tensorrt_fp32_20260904_104919.json"]</t>
  </si>
  <si>
    <t>b7800a7c51d9163f3b88030919f15231ff1b262cad9feac52bbd09081684ef6d</t>
  </si>
  <si>
    <t>037949731e462ecb42feb6e61b61fbca555dfe2a3d381464ad36a17b0a7ff9b9</t>
  </si>
  <si>
    <t>[{"round": 1, "benchmarks": ["results/benchmarks/notebook-controlled/20260904_104755/B01/repeat-01/front_tensorrt_fp32_20260904_104843.json", "results/benchmarks/notebook-controlled/20260904_104755/B01/repeat-02/front_tensorrt_fp32_20260904_104901.json", "results/benchmarks/notebook-controlled/20260904_104755/B01/repeat-03/front_tensorrt_fp32_20260904_104919.json"], "aggregate": {"benchmark_repetitions": 3, "measured_runs_per_repetition": 200, "total_measured_runs": 600, "replicate_median_ms": [45.865366999350954, 45.774185498885345, 45.76235649801674], "replicate_mean_ms": [46.034489404446504, 45.990707429627946, 46.04127945516666], "replicate_median_mean_ms": 45.800636332084345, "replicate_median_std_ms": 0.05636954655638497, "replicate_median_cv": 0.0012307590258718059, "replicate_median_ci95_low_ms": 45.66059531378848, "replicate_median_ci95_high_ms": 45.94067735038021, "mean_ms": 46.02215876308037, "median_ms": 45.82025699710357, "standard_deviation_ms": 1.2844751555142258, "coefficient_of_variation": 0.027909928391813076, "min_ms": 43.22496500390116, "max_ms": 49.91654799960088, "p05_ms": 44.25489459936216, "p25_ms": 45.08433199953288, "p75_ms": 46.6919632472127, "p95_ms": 48.56151670392137, "p99_ms": 49.34060668594611, "iqr_ms": 1.6076312476798194, "fps": 21.728663471610425, "gpu_peak_allocated_bytes": 941561856, "gpu_peak_reserved_bytes": 1000341504}, "official": true}]</t>
  </si>
  <si>
    <t>B02</t>
  </si>
  <si>
    <t>precision</t>
  </si>
  <si>
    <t>tensorrt-fp16</t>
  </si>
  <si>
    <t>fp16</t>
  </si>
  <si>
    <t>artifacts/experiments/B02/front/model.engine</t>
  </si>
  <si>
    <t>results/coco-evaluation/B02-front.json</t>
  </si>
  <si>
    <t>["results/benchmarks/notebook-controlled/20260904_104755/B02/repeat-01/front_tensorrt_fp16_20260904_104933.json", "results/benchmarks/notebook-controlled/20260904_104755/B02/repeat-02/front_tensorrt_fp16_20260904_104947.json", "results/benchmarks/notebook-controlled/20260904_104755/B02/repeat-03/front_tensorrt_fp16_20260904_105001.json"]</t>
  </si>
  <si>
    <t>eedabbb239942a30399e9f1b59b0f8a0c9d76097de80e4efd466535a9b879185</t>
  </si>
  <si>
    <t>[{"round": 1, "benchmarks": ["results/benchmarks/notebook-controlled/20260904_104755/B02/repeat-01/front_tensorrt_fp16_20260904_104933.json", "results/benchmarks/notebook-controlled/20260904_104755/B02/repeat-02/front_tensorrt_fp16_20260904_104947.json", "results/benchmarks/notebook-controlled/20260904_104755/B02/repeat-03/front_tensorrt_fp16_20260904_105001.json"], "aggregate": {"benchmark_repetitions": 3, "measured_runs_per_repetition": 200, "total_measured_runs": 600, "replicate_median_ms": [25.510872499580728, 26.78608849964803, 25.4791785046109], "replicate_mean_ms": [25.691386710132065, 26.664797089761123, 25.7630138402601], "replicate_median_mean_ms": 25.92537983461322, "replicate_median_std_ms": 0.7455640025368662, "replicate_median_cv": 0.028758074415614024, "replicate_median_ci95_low_ms": 24.073146696360688, "replicate_median_ci95_high_ms": 27.777612972865754, "mean_ms": 26.03973254671776, "median_ms": 25.775210498977685, "standard_deviation_ms": 1.3337748089065833, "coefficient_of_variation": 0.05122075683817659, "min_ms": 23.657678997551557, "max_ms": 38.57225999672664, "p05_ms": 24.354618451252463, "p25_ms": 25.116360249739955, "p75_ms": 26.930151745546027, "p95_ms": 28.130155548933544, "p99_ms": 29.321301157033297, "iqr_ms": 1.813791495806072, "fps": 38.40285218774443, "gpu_peak_allocated_bytes": 941561856, "gpu_peak_reserved_bytes": 1000341504}, "official": true}]</t>
  </si>
  <si>
    <t>B03</t>
  </si>
  <si>
    <t>tensorrt-int8-ptq</t>
  </si>
  <si>
    <t>int8</t>
  </si>
  <si>
    <t>artifacts/experiments/B03/front/model.engine</t>
  </si>
  <si>
    <t>results/coco-evaluation/B03-front.json</t>
  </si>
  <si>
    <t>["results/benchmarks/notebook-controlled/20260904_104755/B03/repeat-01/front_tensorrt_int8_20260904_105014.json", "results/benchmarks/notebook-controlled/20260904_104755/B03/repeat-02/front_tensorrt_int8_20260904_105028.json", "results/benchmarks/notebook-controlled/20260904_104755/B03/repeat-03/front_tensorrt_int8_20260904_105042.json"]</t>
  </si>
  <si>
    <t>29efb304dc17c96d4a8b281be1a71eb5e1cf743fb8a87e30aaebe8e6b17d97cf</t>
  </si>
  <si>
    <t>[{"round": 1, "benchmarks": ["results/benchmarks/notebook-controlled/20260904_104755/B03/repeat-01/front_tensorrt_int8_20260904_105014.json", "results/benchmarks/notebook-controlled/20260904_104755/B03/repeat-02/front_tensorrt_int8_20260904_105028.json", "results/benchmarks/notebook-controlled/20260904_104755/B03/repeat-03/front_tensorrt_int8_20260904_105042.json"], "aggregate": {"benchmark_repetitions": 3, "measured_runs_per_repetition": 200, "total_measured_runs": 600, "replicate_median_ms": [25.11864050029544, 26.1370039988833, 25.15864749875618], "replicate_mean_ms": [25.29866738466808, 26.305342669875245, 25.483774735002953], "replicate_median_mean_ms": 25.471430665978307, "replicate_median_std_ms": 0.5767504105652246, "replicate_median_cv": 0.02264303164311767, "replicate_median_ci95_low_ms": 24.038587584345166, "replicate_median_ci95_high_ms": 26.904273747611448, "mean_ms": 25.695928263182093, "median_ms": 25.360001498484053, "standard_deviation_ms": 1.2291048288609272, "coefficient_of_variation": 0.04783266890661529, "min_ms": 23.745894999592565, "max_ms": 31.56493799906457, "p05_ms": 24.230169856309658, "p25_ms": 24.793393997242674, "p75_ms": 26.461358998858486, "p95_ms": 27.903415251421393, "p99_ms": 29.424016557095452, "iqr_ms": 1.667965001615812, "fps": 38.91667153479839, "gpu_peak_allocated_bytes": 941561856, "gpu_peak_reserved_bytes": 1000341504}, "official": true}]</t>
  </si>
  <si>
    <t>U01</t>
  </si>
  <si>
    <t>unstructured</t>
  </si>
  <si>
    <t>global-magnitude</t>
  </si>
  <si>
    <t>불통</t>
  </si>
  <si>
    <t>ONNX 크기·node·dense MACs 중 어느 항목도 사전 고정 5% 감소 기준을 충족하지 못함</t>
  </si>
  <si>
    <t>대기</t>
  </si>
  <si>
    <t>U02</t>
  </si>
  <si>
    <t>U03</t>
  </si>
  <si>
    <t>M01</t>
  </si>
  <si>
    <t>semi-structured</t>
  </si>
  <si>
    <t>nvidia-2to4</t>
  </si>
  <si>
    <t>artifacts/experiments/M01/front/model.engine</t>
  </si>
  <si>
    <t>results/coco-evaluation/M01-front.json</t>
  </si>
  <si>
    <t>["results/benchmarks/notebook-controlled/20260904_104755/M01/repeat-01/front_tensorrt_fp16_20260904_105056.json", "results/benchmarks/notebook-controlled/20260904_104755/M01/repeat-02/front_tensorrt_fp16_20260904_105110.json", "results/benchmarks/notebook-controlled/20260904_104755/M01/repeat-03/front_tensorrt_fp16_20260904_105123.json"]</t>
  </si>
  <si>
    <t>34429486ea34f461cebfd4ed7b2e2df537160c9326589d120e74a962ac39efb7</t>
  </si>
  <si>
    <t>[{"round": 1, "benchmarks": ["results/benchmarks/notebook-controlled/20260904_104755/M01/repeat-01/front_tensorrt_fp16_20260904_105056.json", "results/benchmarks/notebook-controlled/20260904_104755/M01/repeat-02/front_tensorrt_fp16_20260904_105110.json", "results/benchmarks/notebook-controlled/20260904_104755/M01/repeat-03/front_tensorrt_fp16_20260904_105123.json"], "aggregate": {"benchmark_repetitions": 3, "measured_runs_per_repetition": 200, "total_measured_runs": 600, "replicate_median_ms": [25.371922998601804, 25.168909996864386, 25.653619501099456], "replicate_mean_ms": [25.636607845262915, 25.308891300082905, 25.970511509622156], "replicate_median_mean_ms": 25.39815083218855, "replicate_median_std_ms": 0.2434168242232701, "replicate_median_cv": 0.009584037272303062, "replicate_median_ci95_low_ms": 24.793421115222046, "replicate_median_ci95_high_ms": 26.00288054915505, "mean_ms": 25.63867021832266, "median_ms": 25.386515499121742, "standard_deviation_ms": 1.0178099691553661, "coefficient_of_variation": 0.03969823553594402, "min_ms": 23.64266099903034, "max_ms": 29.305033000127878, "p05_ms": 24.33986774922232, "p25_ms": 24.924465749791125, "p75_ms": 26.20415775163565, "p95_ms": 27.630041898737545, "p99_ms": 28.270790903407033, "iqr_ms": 1.2796920018445235, "fps": 39.00358292706424, "gpu_peak_allocated_bytes": 941561856, "gpu_peak_reserved_bytes": 1000341504}, "official": true}]</t>
  </si>
  <si>
    <t>M02</t>
  </si>
  <si>
    <t>artifacts/experiments/M02/front/model.engine</t>
  </si>
  <si>
    <t>results/coco-evaluation/M02-front.json</t>
  </si>
  <si>
    <t>["results/benchmarks/notebook-controlled/20260904_104755/M02/repeat-01/front_tensorrt_fp16_20260904_105137.json", "results/benchmarks/notebook-controlled/20260904_104755/M02/repeat-02/front_tensorrt_fp16_20260904_105151.json", "results/benchmarks/notebook-controlled/20260904_104755/M02/repeat-03/front_tensorrt_fp16_20260904_105205.json"]</t>
  </si>
  <si>
    <t>808767d244919a7d37ca5e2509f2480b945e36ea5e8b44fb6f61c2871fc0d5c2</t>
  </si>
  <si>
    <t>[{"round": 1, "benchmarks": ["results/benchmarks/notebook-controlled/20260904_104755/M02/repeat-01/front_tensorrt_fp16_20260904_105137.json", "results/benchmarks/notebook-controlled/20260904_104755/M02/repeat-02/front_tensorrt_fp16_20260904_105151.json", "results/benchmarks/notebook-controlled/20260904_104755/M02/repeat-03/front_tensorrt_fp16_20260904_105205.json"], "aggregate": {"benchmark_repetitions": 3, "measured_runs_per_repetition": 200, "total_measured_runs": 600, "replicate_median_ms": [25.14567700200132, 25.21012199940742, 25.422765498660738], "replicate_mean_ms": [25.743770000008226, 25.47602516027837, 25.662433544785017], "replicate_median_mean_ms": 25.25952150002316, "replicate_median_std_ms": 0.14499910944918673, "replicate_median_cv": 0.005740374355430834, "replicate_median_ci95_low_ms": 24.89929467224574, "replicate_median_ci95_high_ms": 25.619748327800576, "mean_ms": 25.627409568357205, "median_ms": 25.26247049900121, "standard_deviation_ms": 1.5887532945822038, "coefficient_of_variation": 0.061994299125100676, "min_ms": 23.210936000396032, "max_ms": 40.46235499845352, "p05_ms": 23.92078685297747, "p25_ms": 24.66518025175901, "p75_ms": 26.367215750724426, "p95_ms": 28.145969146498825, "p99_ms": 29.207884659335832, "iqr_ms": 1.7020354989654152, "fps": 39.020721049962255, "gpu_peak_allocated_bytes": 941561856, "gpu_peak_reserved_bytes": 1000341504}, "official": true}]</t>
  </si>
  <si>
    <t>S01</t>
  </si>
  <si>
    <t>structured</t>
  </si>
  <si>
    <t>decoder-layer</t>
  </si>
  <si>
    <t>artifacts/experiments/S01/front/model.engine</t>
  </si>
  <si>
    <t>results/coco-evaluation/S01-front.json</t>
  </si>
  <si>
    <t>["results/benchmarks/notebook-controlled/20260904_104755/S01/repeat-01/front_tensorrt_fp32_20260904_105223.json", "results/benchmarks/notebook-controlled/20260904_104755/S01/repeat-02/front_tensorrt_fp32_20260904_105241.json", "results/benchmarks/notebook-controlled/20260904_104755/S01/repeat-03/front_tensorrt_fp32_20260904_105259.json"]</t>
  </si>
  <si>
    <t>1657f1292a20ef0ad02f1c733c8e8056038a6d6de5bed2e6d75eb385142cbb90</t>
  </si>
  <si>
    <t>[{"round": 1, "benchmarks": ["results/benchmarks/notebook-controlled/20260904_104755/S01/repeat-01/front_tensorrt_fp32_20260904_105223.json", "results/benchmarks/notebook-controlled/20260904_104755/S01/repeat-02/front_tensorrt_fp32_20260904_105241.json", "results/benchmarks/notebook-controlled/20260904_104755/S01/repeat-03/front_tensorrt_fp32_20260904_105259.json"], "aggregate": {"benchmark_repetitions": 3, "measured_runs_per_repetition": 200, "total_measured_runs": 600, "replicate_median_ms": [44.887716496305075, 44.785463502194034, 43.942856496869354], "replicate_mean_ms": [44.94487110005139, 44.91223885968793, 44.17432209447725], "replicate_median_mean_ms": 44.53867883178949, "replicate_median_std_ms": 0.5185239722456698, "replicate_median_cv": 0.011642104926461654, "replicate_median_ci95_low_ms": 43.25048991560818, "replicate_median_ci95_high_ms": 45.8268677479708, "mean_ms": 44.67714401807219, "median_ms": 44.509862000268186, "standard_deviation_ms": 1.299870323100578, "coefficient_of_variation": 0.029094749713069665, "min_ms": 42.054261997691356, "max_ms": 48.99946499790531, "p05_ms": 42.835195003135595, "p25_ms": 43.685598249794566, "p75_ms": 45.60528374895512, "p95_ms": 46.95399169904703, "p99_ms": 47.97766403615241, "iqr_ms": 1.9196854991605505, "fps": 22.38280942030434, "gpu_peak_allocated_bytes": 941561856, "gpu_peak_reserved_bytes": 1000341504}, "official": true}]</t>
  </si>
  <si>
    <t>S02</t>
  </si>
  <si>
    <t>artifacts/experiments/S02/front/model.engine</t>
  </si>
  <si>
    <t>results/coco-evaluation/S02-front.json</t>
  </si>
  <si>
    <t>["results/benchmarks/notebook-controlled/20260904_104755/S02/repeat-01/front_tensorrt_fp32_20260904_105316.json", "results/benchmarks/notebook-controlled/20260904_104755/S02/repeat-02/front_tensorrt_fp32_20260904_105334.json", "results/benchmarks/notebook-controlled/20260904_104755/S02/repeat-03/front_tensorrt_fp32_20260904_105352.json"]</t>
  </si>
  <si>
    <t>a5a26d9f974c0e14adc550ab7644919652b2b08025f2b335d3af05e7c220902d</t>
  </si>
  <si>
    <t>[{"round": 1, "benchmarks": ["results/benchmarks/notebook-controlled/20260904_104755/S02/repeat-01/front_tensorrt_fp32_20260904_105316.json", "results/benchmarks/notebook-controlled/20260904_104755/S02/repeat-02/front_tensorrt_fp32_20260904_105334.json", "results/benchmarks/notebook-controlled/20260904_104755/S02/repeat-03/front_tensorrt_fp32_20260904_105352.json"], "aggregate": {"benchmark_repetitions": 3, "measured_runs_per_repetition": 200, "total_measured_runs": 600, "replicate_median_ms": [42.77670200099237, 43.21196299861185, 42.82588899877737], "replicate_mean_ms": [43.038969919907686, 43.425512820103904, 42.86413266509044], "replicate_median_mean_ms": 42.9381846661272, "replicate_median_std_ms": 0.23837107981324704, "replicate_median_cv": 0.005551494122696149, "replicate_median_ci95_low_ms": 42.345990284787945, "replicate_median_ci95_high_ms": 43.530379047466454, "mean_ms": 43.10953846836734, "median_ms": 42.95711550003034, "standard_deviation_ms": 0.9840944162029024, "coefficient_of_variation": 0.022827765064685285, "min_ms": 40.98106099991128, "max_ms": 46.70429600082571, "p05_ms": 41.72241199739801, "p25_ms": 42.4860395014548, "p75_ms": 43.551571248826804, "p95_ms": 45.106496605149005, "p99_ms": 45.978701640851796, "iqr_ms": 1.065531747372006, "fps": 23.196722477875145, "gpu_peak_allocated_bytes": 941561856, "gpu_peak_reserved_bytes": 1000341504}, "official": true}]</t>
  </si>
  <si>
    <t>S03</t>
  </si>
  <si>
    <t>ffn-dimension</t>
  </si>
  <si>
    <t>S04</t>
  </si>
  <si>
    <t>artifacts/experiments/S04/front/model.engine</t>
  </si>
  <si>
    <t>results/coco-evaluation/S04-front.json</t>
  </si>
  <si>
    <t>["results/benchmarks/notebook-controlled/20260904_104755/S04/repeat-01/front_tensorrt_fp32_20260904_105410.json", "results/benchmarks/notebook-controlled/20260904_104755/S04/repeat-02/front_tensorrt_fp32_20260904_105428.json", "results/benchmarks/notebook-controlled/20260904_104755/S04/repeat-03/front_tensorrt_fp32_20260904_105446.json"]</t>
  </si>
  <si>
    <t>0be2db8272e6055f37e30e3b3a809704ffccf615e40e8c5ad0726370bb089c04</t>
  </si>
  <si>
    <t>[{"round": 1, "benchmarks": ["results/benchmarks/notebook-controlled/20260904_104755/S04/repeat-01/front_tensorrt_fp32_20260904_105410.json", "results/benchmarks/notebook-controlled/20260904_104755/S04/repeat-02/front_tensorrt_fp32_20260904_105428.json", "results/benchmarks/notebook-controlled/20260904_104755/S04/repeat-03/front_tensorrt_fp32_20260904_105446.json"], "aggregate": {"benchmark_repetitions": 3, "measured_runs_per_repetition": 200, "total_measured_runs": 600, "replicate_median_ms": [46.064877500612056, 45.616389495990006, 45.5948039998475], "replicate_mean_ms": [46.13614516980306, 45.72785710995959, 45.8059498050352], "replicate_median_mean_ms": 45.758690332149854, "replicate_median_std_ms": 0.26538541785317665, "replicate_median_cv": 0.005799672497766354, "replicate_median_ci95_low_ms": 45.099383198645455, "replicate_median_ci95_high_ms": 46.41799746565425, "mean_ms": 45.88998402826595, "median_ms": 45.76865499984706, "standard_deviation_ms": 1.17032895773334, "coefficient_of_variation": 0.025502927981244785, "min_ms": 43.30192100314889, "max_ms": 49.49725999904331, "p05_ms": 44.24601095051912, "p25_ms": 44.998984749327064, "p75_ms": 46.621299004982575, "p95_ms": 48.07662969978992, "p99_ms": 48.893655821011635, "iqr_ms": 1.6223142556555104, "fps": 21.791247505862056, "gpu_peak_allocated_bytes": 941561856, "gpu_peak_reserved_bytes": 1000341504}, "official": true}]</t>
  </si>
  <si>
    <t>C01</t>
  </si>
  <si>
    <t>combined</t>
  </si>
  <si>
    <t>structured-selected</t>
  </si>
  <si>
    <t>artifacts/experiments/C01/front/model.engine</t>
  </si>
  <si>
    <t>results/coco-evaluation/C01-front.json</t>
  </si>
  <si>
    <t>["results/benchmarks/notebook-controlled/20260904_104755/C01/repeat-01/front_tensorrt_fp16_20260904_105500.json", "results/benchmarks/notebook-controlled/20260904_104755/C01/repeat-02/front_tensorrt_fp16_20260904_105514.json", "results/benchmarks/notebook-controlled/20260904_104755/C01/repeat-03/front_tensorrt_fp16_20260904_105528.json"]</t>
  </si>
  <si>
    <t>bfbcd85bff8b8eb57c2be2368c5cba41aebe25c9892603894a59fc184ff035f6</t>
  </si>
  <si>
    <t>[{"round": 1, "benchmarks": ["results/benchmarks/notebook-controlled/20260904_104755/C01/repeat-01/front_tensorrt_fp16_20260904_105500.json", "results/benchmarks/notebook-controlled/20260904_104755/C01/repeat-02/front_tensorrt_fp16_20260904_105514.json", "results/benchmarks/notebook-controlled/20260904_104755/C01/repeat-03/front_tensorrt_fp16_20260904_105528.json"], "aggregate": {"benchmark_repetitions": 3, "measured_runs_per_repetition": 200, "total_measured_runs": 600, "replicate_median_ms": [25.126939501205925, 24.903826997615397, 26.283368501026416], "replicate_mean_ms": [25.403895925119286, 25.07744679973257, 26.183420429952093], "replicate_median_mean_ms": 25.438044999949245, "replicate_median_std_ms": 0.7405225610470161, "replicate_median_cv": 0.029110828330105306, "replicate_median_ci95_low_ms": 23.59833650741497, "replicate_median_ci95_high_ms": 27.27775349248352, "mean_ms": 25.554921051601315, "median_ms": 25.29960950050736, "standard_deviation_ms": 1.1181412929326209, "coefficient_of_variation": 0.04375444129429452, "min_ms": 23.53737199882744, "max_ms": 30.649074004031718, "p05_ms": 24.09362330181466, "p25_ms": 24.682271001438494, "p75_ms": 26.424874498843565, "p95_ms": 27.511681694886644, "p99_ms": 28.20130314830749, "iqr_ms": 1.7426034974050708, "fps": 39.13140635342868, "gpu_peak_allocated_bytes": 941561856, "gpu_peak_reserved_bytes": 1000341504}, "official": true}]</t>
  </si>
  <si>
    <t>C02</t>
  </si>
  <si>
    <t>artifacts/experiments/C02/front/model.engine</t>
  </si>
  <si>
    <t>results/coco-evaluation/C02-front.json</t>
  </si>
  <si>
    <t>["results/benchmarks/notebook-controlled/20260904_104755/C02/repeat-01/front_tensorrt_int8_20260904_105542.json", "results/benchmarks/notebook-controlled/20260904_104755/C02/repeat-02/front_tensorrt_int8_20260904_105556.json", "results/benchmarks/notebook-controlled/20260904_104755/C02/repeat-03/front_tensorrt_int8_20260904_105610.json"]</t>
  </si>
  <si>
    <t>828a0f74ef4b9629f999a99c3c955e97d69cc52306bf44aeea69f7f8d128c6e3</t>
  </si>
  <si>
    <t>[{"round": 1, "benchmarks": ["results/benchmarks/notebook-controlled/20260904_104755/C02/repeat-01/front_tensorrt_int8_20260904_105542.json", "results/benchmarks/notebook-controlled/20260904_104755/C02/repeat-02/front_tensorrt_int8_20260904_105556.json", "results/benchmarks/notebook-controlled/20260904_104755/C02/repeat-03/front_tensorrt_int8_20260904_105610.json"], "aggregate": {"benchmark_repetitions": 3, "measured_runs_per_repetition": 200, "total_measured_runs": 600, "replicate_median_ms": [26.37079200212611, 26.096891997440252, 25.931219999620225], "replicate_mean_ms": [26.136388615232136, 25.966977779717126, 25.89996900955157], "replicate_median_mean_ms": 26.132967999728862, "replicate_median_std_ms": 0.22199548374371034, "replicate_median_cv": 0.008494843897792766, "replicate_median_ci95_low_ms": 25.581456137389225, "replicate_median_ci95_high_ms": 26.6844798620685, "mean_ms": 26.001111801500276, "median_ms": 26.182795998465735, "standard_deviation_ms": 0.9883946343311655, "coefficient_of_variation": 0.03801355272331603, "min_ms": 23.30352699937066, "max_ms": 28.45742699719267, "p05_ms": 24.24414754859754, "p25_ms": 25.30518849926011, "p75_ms": 26.70435699656082, "p95_ms": 27.425261502867215, "p99_ms": 27.946537816678756, "iqr_ms": 1.3991684973007068, "fps": 38.4598938550889, "gpu_peak_allocated_bytes": 941561856, "gpu_peak_reserved_bytes": 1000341504}, "official": true}]</t>
  </si>
  <si>
    <t>C03</t>
  </si>
  <si>
    <t>structured-resolution</t>
  </si>
  <si>
    <t>1x3x432x432</t>
  </si>
  <si>
    <t>artifacts/experiments/C03/front/model.engine</t>
  </si>
  <si>
    <t>results/coco-evaluation/C03-front.json</t>
  </si>
  <si>
    <t>["results/benchmarks/notebook-controlled/20260904_104755/C03/repeat-01/front_tensorrt_fp32_20260904_105626.json", "results/benchmarks/notebook-controlled/20260904_104755/C03/repeat-02/front_tensorrt_fp32_20260904_105642.json", "results/benchmarks/notebook-controlled/20260904_104755/C03/repeat-03/front_tensorrt_fp32_20260904_105658.json"]</t>
  </si>
  <si>
    <t>633b6f87ea21ef96eace52901791958a66b13f87022fc86b1e4d4873afdb3ecf</t>
  </si>
  <si>
    <t>[{"round": 1, "benchmarks": ["results/benchmarks/notebook-controlled/20260904_104755/C03/repeat-01/front_tensorrt_fp32_20260904_105626.json", "results/benchmarks/notebook-controlled/20260904_104755/C03/repeat-02/front_tensorrt_fp32_20260904_105642.json", "results/benchmarks/notebook-controlled/20260904_104755/C03/repeat-03/front_tensorrt_fp32_20260904_105658.json"], "aggregate": {"benchmark_repetitions": 3, "measured_runs_per_repetition": 200, "total_measured_runs": 600, "replicate_median_ms": [36.10285100148758, 36.376029001985444, 36.43458350052242], "replicate_mean_ms": [36.078320195192646, 36.23329845006083, 36.31526332505018], "replicate_median_mean_ms": 36.304487834665146, "replicate_median_std_ms": 0.17705992402330442, "replicate_median_cv": 0.00487708089505782, "replicate_median_ci95_low_ms": 35.86461110025129, "replicate_median_ci95_high_ms": 36.744364569079, "mean_ms": 36.208960656767886, "median_ms": 36.29605549576809, "standard_deviation_ms": 1.1112755853658471, "coefficient_of_variation": 0.030690623680139698, "min_ms": 33.22450899577234, "max_ms": 39.55846199824009, "p05_ms": 34.21704210122698, "p25_ms": 35.46080725027423, "p75_ms": 36.99683899867523, "p95_ms": 37.83398185187252, "p99_ms": 38.435297518444706, "iqr_ms": 1.536031748401001, "fps": 27.617473185137893, "gpu_peak_allocated_bytes": 936573952, "gpu_peak_reserved_bytes": 977272832}, "official": true}]</t>
  </si>
  <si>
    <t>C04</t>
  </si>
  <si>
    <t>1x3x480x480</t>
  </si>
  <si>
    <t>artifacts/experiments/C04/front/model.engine</t>
  </si>
  <si>
    <t>results/coco-evaluation/C04-front.json</t>
  </si>
  <si>
    <t>["results/benchmarks/notebook-controlled/20260904_104755/C04/repeat-01/front_tensorrt_fp32_20260904_105715.json", "results/benchmarks/notebook-controlled/20260904_104755/C04/repeat-02/front_tensorrt_fp32_20260904_105733.json", "results/benchmarks/notebook-controlled/20260904_104755/C04/repeat-03/front_tensorrt_fp32_20260904_105750.json"]</t>
  </si>
  <si>
    <t>14de81813ff71cac78d0d349431099c5119905068ce3f85da70404280a86a551</t>
  </si>
  <si>
    <t>[{"round": 1, "benchmarks": ["results/benchmarks/notebook-controlled/20260904_104755/C04/repeat-01/front_tensorrt_fp32_20260904_105715.json", "results/benchmarks/notebook-controlled/20260904_104755/C04/repeat-02/front_tensorrt_fp32_20260904_105733.json", "results/benchmarks/notebook-controlled/20260904_104755/C04/repeat-03/front_tensorrt_fp32_20260904_105750.json"], "aggregate": {"benchmark_repetitions": 3, "measured_runs_per_repetition": 200, "total_measured_runs": 600, "replicate_median_ms": [42.05381450083223, 41.9712895018165, 41.8413654952019], "replicate_mean_ms": [41.932456035101495, 41.67228156456986, 41.67631771986635], "replicate_median_mean_ms": 41.95548983261688, "replicate_median_std_ms": 0.10710213423850365, "replicate_median_cv": 0.0025527561390843475, "replicate_median_ci95_low_ms": 41.68941190833523, "replicate_median_ci95_high_ms": 42.22156775689852, "mean_ms": 41.76035177317923, "median_ms": 41.97326050052652, "standard_deviation_ms": 0.9923271832611434, "coefficient_of_variation": 0.023762423953010616, "min_ms": 38.95193499920424, "max_ms": 44.69248000532389, "p05_ms": 39.830163451551925, "p25_ms": 41.14152350302902, "p75_ms": 42.457026000192855, "p95_ms": 43.17550875166489, "p99_ms": 43.628503036961774, "iqr_ms": 1.315502497163834, "fps": 23.94615843830737, "gpu_peak_allocated_bytes": 939813376, "gpu_peak_reserved_bytes": 981467136}, "official": true}]</t>
  </si>
  <si>
    <t>R01</t>
  </si>
  <si>
    <t>input</t>
  </si>
  <si>
    <t>input-resolution</t>
  </si>
  <si>
    <t>artifacts/experiments/R01/front/model.engine</t>
  </si>
  <si>
    <t>results/coco-evaluation/R01-front.json</t>
  </si>
  <si>
    <t>["results/benchmarks/notebook-controlled/20260904_104755/R01/repeat-01/front_tensorrt_fp16_20260904_105803.json", "results/benchmarks/notebook-controlled/20260904_104755/R01/repeat-02/front_tensorrt_fp16_20260904_105817.json", "results/benchmarks/notebook-controlled/20260904_104755/R01/repeat-03/front_tensorrt_fp16_20260904_105830.json"]</t>
  </si>
  <si>
    <t>9c4cef49331dc94581f92ff10a141a5619caaf3c71aa708c24bfc0a39311efda</t>
  </si>
  <si>
    <t>[{"round": 1, "benchmarks": ["results/benchmarks/notebook-controlled/20260904_104755/R01/repeat-01/front_tensorrt_fp16_20260904_105803.json", "results/benchmarks/notebook-controlled/20260904_104755/R01/repeat-02/front_tensorrt_fp16_20260904_105817.json", "results/benchmarks/notebook-controlled/20260904_104755/R01/repeat-03/front_tensorrt_fp16_20260904_105830.json"], "aggregate": {"benchmark_repetitions": 3, "measured_runs_per_repetition": 200, "total_measured_runs": 600, "replicate_median_ms": [23.208815502584912, 25.012070997036062, 23.808357000234537], "replicate_mean_ms": [23.409623375155206, 24.883610060423962, 24.0221716951055], "replicate_median_mean_ms": 24.00974783328517, "replicate_median_std_ms": 0.9183416005467065, "replicate_median_cv": 0.03824869827552258, "replicate_median_ci95_low_ms": 21.728276706754528, "replicate_median_ci95_high_ms": 26.291218959815815, "mean_ms": 24.105135043561557, "median_ms": 24.010295503103407, "standard_deviation_ms": 1.1279035651392872, "coefficient_of_variation": 0.046791007936732076, "min_ms": 21.792273000755813, "max_ms": 26.894788999925368, "p05_ms": 22.4953793505847, "p25_ms": 23.13907899770129, "p75_ms": 25.098758251260733, "p95_ms": 25.820945401574136, "p99_ms": 26.436979941063328, "iqr_ms": 1.9596792535594432, "fps": 41.484936640796725, "gpu_peak_allocated_bytes": 936573952, "gpu_peak_reserved_bytes": 977272832}, "official": true}]</t>
  </si>
  <si>
    <t>R02</t>
  </si>
  <si>
    <t>artifacts/experiments/R02/front/model.engine</t>
  </si>
  <si>
    <t>results/coco-evaluation/R02-front.json</t>
  </si>
  <si>
    <t>["results/benchmarks/notebook-controlled/20260904_104755/R02/repeat-01/front_tensorrt_fp32_20260904_105848.json", "results/benchmarks/notebook-controlled/20260904_104755/R02/repeat-02/front_tensorrt_fp32_20260904_105905.json", "results/benchmarks/notebook-controlled/20260904_104755/R02/repeat-03/front_tensorrt_fp32_20260904_105924.json"]</t>
  </si>
  <si>
    <t>ff5c45209c42a5a49a130e6694eed0af947c9d7c2a667ebf5d4b0a2b56cd2a31</t>
  </si>
  <si>
    <t>[{"round": 1, "benchmarks": ["results/benchmarks/notebook-controlled/20260904_104755/R02/repeat-01/front_tensorrt_fp32_20260904_105848.json", "results/benchmarks/notebook-controlled/20260904_104755/R02/repeat-02/front_tensorrt_fp32_20260904_105905.json", "results/benchmarks/notebook-controlled/20260904_104755/R02/repeat-03/front_tensorrt_fp32_20260904_105924.json"], "aggregate": {"benchmark_repetitions": 3, "measured_runs_per_repetition": 200, "total_measured_runs": 600, "replicate_median_ms": [43.12465450129821, 42.1917415005737, 43.12659249626449], "replicate_mean_ms": [43.07042928507144, 42.383735650073504, 43.066560674888024], "replicate_median_mean_ms": 42.8143294993788, "replicate_median_std_ms": 0.539177893786669, "replicate_median_cv": 0.01259339805367014, "replicate_median_ci95_low_ms": 41.47482925676148, "replicate_median_ci95_high_ms": 44.15382974199612, "mean_ms": 42.84024187001099, "median_ms": 42.96294300002046, "standard_deviation_ms": 1.2861382243507, "coefficient_of_variation": 0.030021731162330853, "min_ms": 39.765353001712356, "max_ms": 47.83193000184838, "p05_ms": 40.673409801820526, "p25_ms": 41.94262375312974, "p75_ms": 43.79266624709999, "p95_ms": 44.72060505286208, "p99_ms": 45.70533483325562, "iqr_ms": 1.8500424939702498, "fps": 23.342538612043167, "gpu_peak_allocated_bytes": 939813376, "gpu_peak_reserved_bytes": 981467136}, "official": true}]</t>
  </si>
  <si>
    <t>R03</t>
  </si>
  <si>
    <t>1x3x384x384</t>
  </si>
  <si>
    <t>artifacts/experiments/R03/front/model.engine</t>
  </si>
  <si>
    <t>results/coco-evaluation/R03-front.json</t>
  </si>
  <si>
    <t>["results/benchmarks/notebook-controlled/20260904_104755/R03/repeat-01/front_tensorrt_fp32_20260904_105940.json", "results/benchmarks/notebook-controlled/20260904_104755/R03/repeat-02/front_tensorrt_fp32_20260904_105955.json", "results/benchmarks/notebook-controlled/20260904_104755/R03/repeat-03/front_tensorrt_fp32_20260904_110010.json"]</t>
  </si>
  <si>
    <t>b3ee83810ee62c55ccc670247a85fa94eef62ebd249388dd51736a6f84407199</t>
  </si>
  <si>
    <t>[{"round": 1, "benchmarks": ["results/benchmarks/notebook-controlled/20260904_104755/R03/repeat-01/front_tensorrt_fp32_20260904_105940.json", "results/benchmarks/notebook-controlled/20260904_104755/R03/repeat-02/front_tensorrt_fp32_20260904_105955.json", "results/benchmarks/notebook-controlled/20260904_104755/R03/repeat-03/front_tensorrt_fp32_20260904_110010.json"], "aggregate": {"benchmark_repetitions": 3, "measured_runs_per_repetition": 200, "total_measured_runs": 600, "replicate_median_ms": [32.54655850105337, 32.933414997387445, 31.758172997797374], "replicate_mean_ms": [32.432675844938785, 33.18148440986988, 32.026792349533935], "replicate_median_mean_ms": 32.41271549874606, "replicate_median_std_ms": 0.5989439884914884, "replicate_median_cv": 0.018478673547566837, "replicate_median_ci95_low_ms": 30.92473606349131, "replicate_median_ci95_high_ms": 33.90069493400081, "mean_ms": 32.546984201447536, "median_ms": 32.38640950439731, "standard_deviation_ms": 1.4199168838885137, "coefficient_of_variation": 0.04362668058889962, "min_ms": 29.98398400086444, "max_ms": 41.25526300049387, "p05_ms": 30.67092479650455, "p25_ms": 31.504781503826962, "p75_ms": 33.33487075360608, "p95_ms": 34.875148851642734, "p99_ms": 36.249679074171574, "iqr_ms": 1.830089249779121, "fps": 30.724812898502734, "gpu_peak_allocated_bytes": 933675520, "gpu_peak_reserved_bytes": 966787072}, "official": true}]</t>
  </si>
  <si>
    <t>Q01</t>
  </si>
  <si>
    <t>modelopt-int8-smoothquant</t>
  </si>
  <si>
    <t>artifacts/experiments/Q01/front/model.engine</t>
  </si>
  <si>
    <t>results/coco-evaluation/Q01-front.json</t>
  </si>
  <si>
    <t>["results/benchmarks/notebook-controlled/20260904_104755/Q01/repeat-01/front_tensorrt_int8_20260904_110024.json", "results/benchmarks/notebook-controlled/20260904_104755/Q01/repeat-02/front_tensorrt_int8_20260904_110038.json", "results/benchmarks/notebook-controlled/20260904_104755/Q01/repeat-03/front_tensorrt_int8_20260904_110052.json"]</t>
  </si>
  <si>
    <t>482305be94d757175ea25f97c6f9c6823e4f524165d774c9e4fba8ca0a1157c2</t>
  </si>
  <si>
    <t>[{"round": 1, "benchmarks": ["results/benchmarks/notebook-controlled/20260904_104755/Q01/repeat-01/front_tensorrt_int8_20260904_110024.json", "results/benchmarks/notebook-controlled/20260904_104755/Q01/repeat-02/front_tensorrt_int8_20260904_110038.json", "results/benchmarks/notebook-controlled/20260904_104755/Q01/repeat-03/front_tensorrt_int8_20260904_110052.json"], "aggregate": {"benchmark_repetitions": 3, "measured_runs_per_repetition": 200, "total_measured_runs": 600, "replicate_median_ms": [24.830207501508994, 25.11263899941696, 25.379980495927157], "replicate_mean_ms": [25.099404970314936, 25.526012699883722, 25.625345494736393], "replicate_median_mean_ms": 25.107608998951036, "replicate_median_std_ms": 0.27492101052192014, "replicate_median_cv": 0.010949708932196848, "replicate_median_ci95_low_ms": 24.424612228240672, "replicate_median_ci95_high_ms": 25.7906057696614, "mean_ms": 25.41692105497835, "median_ms": 25.113971998507623, "standard_deviation_ms": 1.187919829619974, "coefficient_of_variation": 0.046737361580910255, "min_ms": 23.49220400355989, "max_ms": 30.38223899784498, "p05_ms": 24.0032038440404, "p25_ms": 24.593713496869896, "p75_ms": 25.910429996656603, "p95_ms": 27.84945969469845, "p99_ms": 28.663697791853334, "iqr_ms": 1.3167164997867076, "fps": 39.343868513300215, "gpu_peak_allocated_bytes": 941561856, "gpu_peak_reserved_bytes": 1000341504}, "official": true}]</t>
  </si>
  <si>
    <t>Q02</t>
  </si>
  <si>
    <t>modelopt-mixed-precision</t>
  </si>
  <si>
    <t>mixed</t>
  </si>
  <si>
    <t>artifacts/experiments/Q02/front/model.engine</t>
  </si>
  <si>
    <t>results/coco-evaluation/Q02-front.json</t>
  </si>
  <si>
    <t>["results/benchmarks/notebook-controlled/20260904_104755/Q02/repeat-01/front_tensorrt_mixed_20260904_110106.json", "results/benchmarks/notebook-controlled/20260904_104755/Q02/repeat-02/front_tensorrt_mixed_20260904_110119.json", "results/benchmarks/notebook-controlled/20260904_104755/Q02/repeat-03/front_tensorrt_mixed_20260904_110133.json"]</t>
  </si>
  <si>
    <t>3472001a47de73e1c88df401315f290d33010c10f0c218d10d96b0a29be8cf36</t>
  </si>
  <si>
    <t>[{"round": 1, "benchmarks": ["results/benchmarks/notebook-controlled/20260904_104755/Q02/repeat-01/front_tensorrt_mixed_20260904_110106.json", "results/benchmarks/notebook-controlled/20260904_104755/Q02/repeat-02/front_tensorrt_mixed_20260904_110119.json", "results/benchmarks/notebook-controlled/20260904_104755/Q02/repeat-03/front_tensorrt_mixed_20260904_110133.json"], "aggregate": {"benchmark_repetitions": 3, "measured_runs_per_repetition": 200, "total_measured_runs": 600, "replicate_median_ms": [25.52665500479634, 25.474412501353072, 24.924360997829353], "replicate_mean_ms": [25.602628129781806, 25.639870654631522, 25.073510589791113], "replicate_median_mean_ms": 25.30847616799292, "replicate_median_std_ms": 0.33367749063106594, "replicate_median_cv": 0.013184416494149125, "replicate_median_ci95_low_ms": 24.479508428760838, "replicate_median_ci95_high_ms": 26.137443907225006, "mean_ms": 25.43866979140148, "median_ms": 25.183493500662735, "standard_deviation_ms": 1.172215567058986, "coefficient_of_variation": 0.04608006537571419, "min_ms": 23.036795006191824, "max_ms": 28.759205000824295, "p05_ms": 23.833819650826626, "p25_ms": 24.58325874977163, "p75_ms": 26.144250747165643, "p95_ms": 27.59679680384579, "p99_ms": 28.432948164772824, "iqr_ms": 1.5609919973940123, "fps": 39.31023155691929, "gpu_peak_allocated_bytes": 941561856, "gpu_peak_reserved_bytes": 1000341504}, "official": true}]</t>
  </si>
  <si>
    <t>Q03</t>
  </si>
  <si>
    <t>modelopt-int4-weight-only</t>
  </si>
  <si>
    <t>int4</t>
  </si>
  <si>
    <t>엔진 생성 실패</t>
  </si>
  <si>
    <t>returncode=1; log=results/stage2-notebook-logs/Q03-build.log</t>
  </si>
  <si>
    <t>Q04</t>
  </si>
  <si>
    <t>modelopt-fp8</t>
  </si>
  <si>
    <t>fp8</t>
  </si>
  <si>
    <t>artifacts/experiments/Q04/front/model.engine</t>
  </si>
  <si>
    <t>results/coco-evaluation/Q04-front.json</t>
  </si>
  <si>
    <t>["results/benchmarks/notebook-controlled/20260904_104755/Q04/repeat-01/front_tensorrt_fp8_20260904_110150.json", "results/benchmarks/notebook-controlled/20260904_104755/Q04/repeat-02/front_tensorrt_fp8_20260904_110206.json", "results/benchmarks/notebook-controlled/20260904_104755/Q04/repeat-03/front_tensorrt_fp8_20260904_110223.json"]</t>
  </si>
  <si>
    <t>9528ac5c63f4b5e59c78bb4222c8ce50e1cbd92cfcd7ad904327cf4a0335d2d2</t>
  </si>
  <si>
    <t>[{"round": 1, "benchmarks": ["results/benchmarks/notebook-controlled/20260904_104755/Q04/repeat-01/front_tensorrt_fp8_20260904_110150.json", "results/benchmarks/notebook-controlled/20260904_104755/Q04/repeat-02/front_tensorrt_fp8_20260904_110206.json", "results/benchmarks/notebook-controlled/20260904_104755/Q04/repeat-03/front_tensorrt_fp8_20260904_110223.json"], "aggregate": {"benchmark_repetitions": 3, "measured_runs_per_repetition": 200, "total_measured_runs": 600, "replicate_median_ms": [38.1283330025326, 37.791531500261044, 38.20535950217163], "replicate_mean_ms": [38.4646704552506, 38.024205605215684, 38.46602554025594], "replicate_median_mean_ms": 38.04174133498842, "replicate_median_std_ms": 0.22008405543652626, "replicate_median_cv": 0.005785330737058208, "replicate_median_ci95_low_ms": 37.49497810702479, "replicate_median_ci95_high_ms": 38.58850456295205, "mean_ms": 38.318300533574075, "median_ms": 37.99387800245313, "standard_deviation_ms": 1.1524567305256874, "coefficient_of_variation": 0.030075883180568447, "min_ms": 36.30811999755679, "max_ms": 43.13816400099313, "p05_ms": 36.91635280192713, "p25_ms": 37.51540074517834, "p75_ms": 38.86630625129328, "p95_ms": 40.58728890195198, "p99_ms": 41.89420311253343, "iqr_ms": 1.350905506114941, "fps": 26.09719079591776, "gpu_peak_allocated_bytes": 941561856, "gpu_peak_reserved_bytes": 1000341504}, "official": true}]</t>
  </si>
  <si>
    <t>Q05</t>
  </si>
  <si>
    <t>modelopt-fp8-mixed</t>
  </si>
  <si>
    <t>artifacts/experiments/Q05/front/model.engine</t>
  </si>
  <si>
    <t>results/coco-evaluation/Q05-front.json</t>
  </si>
  <si>
    <t>["results/benchmarks/notebook-controlled/20260904_104755/Q05/repeat-01/front_tensorrt_mixed_20260904_110240.json", "results/benchmarks/notebook-controlled/20260904_104755/Q05/repeat-02/front_tensorrt_mixed_20260904_110258.json", "results/benchmarks/notebook-controlled/20260904_104755/Q05/repeat-03/front_tensorrt_mixed_20260904_110317.json"]</t>
  </si>
  <si>
    <t>13ca51cd4eefa0f04904444ad80bdaf6cafce52420c0537965076d92e36262e7</t>
  </si>
  <si>
    <t>[{"round": 1, "benchmarks": ["results/benchmarks/notebook-controlled/20260904_104755/Q05/repeat-01/front_tensorrt_mixed_20260904_110240.json", "results/benchmarks/notebook-controlled/20260904_104755/Q05/repeat-02/front_tensorrt_mixed_20260904_110258.json", "results/benchmarks/notebook-controlled/20260904_104755/Q05/repeat-03/front_tensorrt_mixed_20260904_110317.json"], "aggregate": {"benchmark_repetitions": 3, "measured_runs_per_repetition": 200, "total_measured_runs": 600, "replicate_median_ms": [42.93441499976325, 43.809970000438625, 43.138730001373915], "replicate_mean_ms": [43.22307128484681, 43.91613921998214, 43.439731049693364], "replicate_median_mean_ms": 43.29437166719193, "replicate_median_std_ms": 0.45805827784886666, "replicate_median_cv": 0.01058008836275545, "replicate_median_ci95_low_ms": 42.15639998589338, "replicate_median_ci95_high_ms": 44.432343348490484, "mean_ms": 43.52631385150744, "median_ms": 43.33256249810802, "standard_deviation_ms": 1.226915452414823, "coefficient_of_variation": 0.028187901612815564, "min_ms": 40.93052899406757, "max_ms": 47.388359998876695, "p05_ms": 41.77132059994619, "p25_ms": 42.59107500001846, "p75_ms": 44.31426724841003, "p95_ms": 45.66807684714149, "p99_ms": 46.64238819001184, "iqr_ms": 1.7231922483915696, "fps": 22.974608036222833, "gpu_peak_allocated_bytes": 941561856, "gpu_peak_reserved_bytes": 1000341504}, "official": true}]</t>
  </si>
  <si>
    <t>Q06</t>
  </si>
  <si>
    <t>modelopt-fp8-mixed-kld</t>
  </si>
  <si>
    <t>artifacts/experiments/Q06/front/model.engine</t>
  </si>
  <si>
    <t>results/coco-evaluation/Q06-front.json</t>
  </si>
  <si>
    <t>["results/benchmarks/notebook-controlled/20260904_104755/Q06/repeat-01/front_tensorrt_mixed_20260904_110334.json", "results/benchmarks/notebook-controlled/20260904_104755/Q06/repeat-02/front_tensorrt_mixed_20260904_110350.json", "results/benchmarks/notebook-controlled/20260904_104755/Q06/repeat-03/front_tensorrt_mixed_20260904_110407.json"]</t>
  </si>
  <si>
    <t>6276e16f05618b906cad3c5e4bc1c47d668852fe4277b3ff3178a329979cc643</t>
  </si>
  <si>
    <t>[{"round": 1, "benchmarks": ["results/benchmarks/notebook-controlled/20260904_104755/Q06/repeat-01/front_tensorrt_mixed_20260904_110334.json", "results/benchmarks/notebook-controlled/20260904_104755/Q06/repeat-02/front_tensorrt_mixed_20260904_110350.json", "results/benchmarks/notebook-controlled/20260904_104755/Q06/repeat-03/front_tensorrt_mixed_20260904_110407.json"], "aggregate": {"benchmark_repetitions": 3, "measured_runs_per_repetition": 200, "total_measured_runs": 600, "replicate_median_ms": [39.41318600118393, 39.51208500075154, 39.330195999355055], "replicate_mean_ms": [39.661235740095435, 39.71326136022981, 39.566889709785755], "replicate_median_mean_ms": 39.41848900043018, "replicate_median_std_ms": 0.09106038413056938, "replicate_median_cv": 0.0023100932186816098, "replicate_median_ci95_low_ms": 39.192264208870036, "replicate_median_ci95_high_ms": 39.64471379199032, "mean_ms": 39.647128936703666, "median_ms": 39.408903001458384, "standard_deviation_ms": 0.9840188534663551, "coefficient_of_variation": 0.024819422738966385, "min_ms": 37.79056899657007, "max_ms": 44.386878005752806, "p05_ms": 38.52492554942728, "p25_ms": 39.00805299963395, "p75_ms": 40.085282000291045, "p95_ms": 41.529231199092465, "p99_ms": 43.24338190665002, "iqr_ms": 1.0772290006570984, "fps": 25.222507324464583, "gpu_peak_allocated_bytes": 941561856, "gpu_peak_reserved_bytes": 1000341504}, "official": true}]</t>
  </si>
  <si>
    <t>Q07</t>
  </si>
  <si>
    <t>artifacts/experiments/Q07/front/model.engine</t>
  </si>
  <si>
    <t>results/coco-evaluation/Q07-front.json</t>
  </si>
  <si>
    <t>["results/benchmarks/notebook-controlled/20260904_104755/Q07/repeat-01/front_tensorrt_mixed_20260904_110425.json", "results/benchmarks/notebook-controlled/20260904_104755/Q07/repeat-02/front_tensorrt_mixed_20260904_110442.json", "results/benchmarks/notebook-controlled/20260904_104755/Q07/repeat-03/front_tensorrt_mixed_20260904_110458.json"]</t>
  </si>
  <si>
    <t>3c7053bd3d63c5c89b195fb2eb3f3f9e1a29542fefc236571ebc299cda5cab1c</t>
  </si>
  <si>
    <t>[{"round": 1, "benchmarks": ["results/benchmarks/notebook-controlled/20260904_104755/Q07/repeat-01/front_tensorrt_mixed_20260904_110425.json", "results/benchmarks/notebook-controlled/20260904_104755/Q07/repeat-02/front_tensorrt_mixed_20260904_110442.json", "results/benchmarks/notebook-controlled/20260904_104755/Q07/repeat-03/front_tensorrt_mixed_20260904_110458.json"], "aggregate": {"benchmark_repetitions": 3, "measured_runs_per_repetition": 200, "total_measured_runs": 600, "replicate_median_ms": [38.77304900379386, 38.21338999841828, 38.15618050066405], "replicate_mean_ms": [39.06460407004488, 38.35770868965483, 38.37075844989158], "replicate_median_mean_ms": 38.380873167625396, "replicate_median_std_ms": 0.34083668598633465, "replicate_median_cv": 0.008880378632809048, "replicate_median_ci95_low_ms": 37.53411956583137, "replicate_median_ci95_high_ms": 39.22762676941942, "mean_ms": 38.5976904031971, "median_ms": 38.29855150252115, "standard_deviation_ms": 1.2102684128720953, "coefficient_of_variation": 0.03135598011770795, "min_ms": 36.37856400018791, "max_ms": 51.733525993768126, "p05_ms": 37.287459499930264, "p25_ms": 37.81191249800031, "p75_ms": 39.08678475272609, "p95_ms": 40.82614890357945, "p99_ms": 41.82187388847524, "iqr_ms": 1.2748722547257785, "fps": 25.90828595063213, "gpu_peak_allocated_bytes": 941561856, "gpu_peak_reserved_bytes": 1000341504}, "official": true}]</t>
  </si>
  <si>
    <t>계열</t>
  </si>
  <si>
    <t>경량화 방식</t>
  </si>
  <si>
    <t>BBox Δ vs B01</t>
  </si>
  <si>
    <t>Mask Δ vs B01</t>
  </si>
  <si>
    <t>mIoU Δ vs B01</t>
  </si>
  <si>
    <t>CI95 하한 ms</t>
  </si>
  <si>
    <t>CI95 상한 ms</t>
  </si>
  <si>
    <t>GPU allocated MiB</t>
  </si>
  <si>
    <t>Engine MiB</t>
  </si>
  <si>
    <t>Latency 감소율</t>
  </si>
  <si>
    <t>Speedup</t>
  </si>
  <si>
    <t>Memory 감소율</t>
  </si>
  <si>
    <t>Engine 감소율</t>
  </si>
  <si>
    <t>측정 유효</t>
  </si>
  <si>
    <t>정확도 Gate</t>
  </si>
  <si>
    <t>Pareto 대상</t>
  </si>
  <si>
    <t>Pareto 최적</t>
  </si>
  <si>
    <t>CV 재측정 경고</t>
  </si>
  <si>
    <t>P95 예산 초과 경고</t>
  </si>
  <si>
    <t>제외 사유</t>
  </si>
  <si>
    <t>30 FPS 적합</t>
  </si>
  <si>
    <t>최종 배포 후보</t>
  </si>
  <si>
    <t>accuracy retention gate failed</t>
  </si>
  <si>
    <t>단계</t>
  </si>
  <si>
    <t>상태</t>
  </si>
  <si>
    <t>불통·제외 사유</t>
  </si>
  <si>
    <t>후속 조치</t>
  </si>
  <si>
    <t>1차 정적평가</t>
  </si>
  <si>
    <t>후보 산출물/근거 수정 후 1차 재평가</t>
  </si>
  <si>
    <t>2차 노트북평가</t>
  </si>
  <si>
    <t>후보 로그 확인 후 동일 환경에서 재실행</t>
  </si>
  <si>
    <t>배포 기준</t>
  </si>
  <si>
    <t>30 FPS 미달</t>
  </si>
  <si>
    <t>median latency가 33.33 ms를 초과</t>
  </si>
  <si>
    <t>Pareto 결과에는 보존하되 실시간 배포 후보에서 제외</t>
  </si>
  <si>
    <t>Pareto 사전 gate</t>
  </si>
  <si>
    <t>제외</t>
  </si>
  <si>
    <t>실측값은 보존하되 최종 Pareto 대상에서 제외</t>
  </si>
  <si>
    <t>Class ID</t>
  </si>
  <si>
    <t>Class</t>
  </si>
  <si>
    <t>Semantic IoU</t>
  </si>
  <si>
    <t>front</t>
  </si>
  <si>
    <t>out_line</t>
  </si>
  <si>
    <t>parking_lot</t>
  </si>
  <si>
    <t>parking_space</t>
  </si>
  <si>
    <t>전체 반복</t>
  </si>
  <si>
    <t>측정 라운드</t>
  </si>
  <si>
    <t>라운드 내 반복</t>
  </si>
  <si>
    <t>공식 결과</t>
  </si>
  <si>
    <t>표본 이미지</t>
  </si>
  <si>
    <t>Warm-up</t>
  </si>
  <si>
    <t>측정 횟수</t>
  </si>
  <si>
    <t>CV</t>
  </si>
  <si>
    <t>고정 이미지 목록</t>
  </si>
  <si>
    <t>예</t>
  </si>
  <si>
    <t>["data/training/front_session_split_v1/test/frame_000450_20251222_185548_650683_png.rf.f886b6674daf7e61d260f15392cb6e2d.jpg", "data/training/front_session_split_v1/test/frame_000390_20251222_185542_654132_png.rf.9608dad84ebc0177a4baa50ef6d4ae9b.jpg", "data/training/front_session_split_v1/test/frame_000365_20251222_185540_855819_png.rf.aa64dd48b02706eda1a1773cc59e56eb.jpg", "data/training/front_session_split_v1/test/frame_000385_20251222_185128_715776_png.rf.27a7bfa4676fd71a0d2761cfa74051d7.jpg", "data/training/front_session_split_v1/test/frame_000035_20251222_185053_715333_png.rf.b297d59f7aefbacd0f089f53ce052fe6.jpg", "data/training/front_session_split_v1/test/frame_000650_20251222_185609_451066_png.rf.eea47f71052090a574a0e754700f0cde.jpg", "data/training/front_session_split_v1/test/frame_000445_20251222_185134_704359_png.rf.80f8eba6fd317f1e09c80d19948d7114.jpg", "data/training/front_session_split_v1/test/frame_001025_20251222_185647_014213_png.rf.396b5eddd4437f8cfd0bd2741b593e7c.jpg", "data/training/front_session_split_v1/test/frame_000740_20251222_185618_346599_png.rf.2c4d3e81bbe92304fd0fd14ad1a26b77.jpg", "data/training/front_session_split_v1/test/frame_000380_20251222_185128_218918_png.rf.25c806b4b979ba80c601192270a1b47c.jpg", "data/training/front_session_split_v1/test/frame_000230_20251222_185113_213642_png.rf.a311ce3be9c71af600e7d8c83e8c68d2.jpg", "data/training/front_session_split_v1/test/frame_000240_20251222_185527_773394_png.rf.9bc8dbe1efb16cb27bcd999511dadc7f.jpg", "data/training/front_session_split_v1/test/frame_001090_20251222_185652_962498_png.rf.dc4692e2ebf79697c54bf1414a383b15.jpg", "data/training/front_session_split_v1/test/frame_000400_20251222_185544_165307_png.rf.0352bc82dfec1135f44cc442b6c97aa7.jpg", "data/training/front_session_split_v1/test/frame_000535_20251222_185557_771757_png.rf.fdbaa085bbee34892cd2c35d876acc70.jpg", "data/training/front_session_split_v1/test/frame_000465_20251222_185551_051211_png.rf.a77475620cd1f6f3bca4e0e248a0aa4c.jpg", "data/training/front_session_split_v1/test/frame_000740_20251222_185204_209151_png.rf.1d2e3dd2081181e682772fc61a195802.jpg", "data/training/front_session_split_v1/test/frame_000730_20251222_185203_208909_png.rf.6e29e1c21763af5180aca1aa1c0df20e.jpg", "data/training/front_session_split_v1/test/frame_001270_20251222_185710_958761_png.rf.173a650605b16fd282204268cbdd3cb5.jpg", "data/training/front_session_split_v1/test/frame_000015_20251222_185505_141245_png.rf.083169be4c59f254b8dd55eaa60dff8a.jpg", "data/training/front_session_split_v1/test/frame_000945_20251222_185638_130298_png.rf.932dd3e7e9370238d293c4f6b43160cc.jpg", "data/training/front_session_split_v1/test/frame_001145_20251222_185658_106075_png.rf.159821e61c26043adc78a14cad4d9ee2.jpg", "data/training/front_session_split_v1/test/frame_000935_20251222_185637_827275_png.rf.eaf2142eeb319c5713e8367bf8467f01.jpg", "data/training/front_session_split_v1/test/frame_000525_20251222_185556_950850_png.rf.4632cf93ae87a00ddd9e453555b762a2.jpg", "data/training/front_session_split_v1/test/frame_000510_20251222_185141_203980_png.rf.621f5b5831b0c932f4e85471633dfebb.jpg", "data/training/front_session_split_v1/test/frame_000770_20251222_185207_208228_png.rf.40e0e59756ca162f2ccfb6f3cd0d9182.jpg", "data/training/front_session_split_v1/test/frame_000010_20251222_185051_226632_png.rf.e7375e71bc35957e9622deec0c58ac82.jpg", "data/training/front_session_split_v1/test/frame_000200_20251222_185110_223204_png.rf.d40e018ad946de628d77075dccd3f8df.jpg", "data/training/front_session_split_v1/test/frame_000405_20251222_185544_209867_png.rf.60620b6b98b588e98b0523e2957ea3a5.jpg", "data/training/front_session_split_v1/test/frame_000770_20251222_185620_883577_png.rf.50147362b40560c390a5cbe5981bf038.jpg", "data/training/front_session_split_v1/test/frame_000475_20251222_185551_151363_png.rf.e7abd3f2eeeb9f4507bf7406208df206.jpg", "data/training/front_session_split_v1/test/frame_000155_20251222_185105_722040_png.rf.9ec6efc78f776091f07ecb76751f04d4.jpg"]</t>
  </si>
  <si>
    <t>환경 항목</t>
  </si>
  <si>
    <t>기록값</t>
  </si>
  <si>
    <t>state.created_at_utc</t>
  </si>
  <si>
    <t>2026-09-04T01:47:55.753324+00:00</t>
  </si>
  <si>
    <t>state.finished_at_utc</t>
  </si>
  <si>
    <t>2026-09-04T02:04:59.719906+00:00</t>
  </si>
  <si>
    <t>state.status</t>
  </si>
  <si>
    <t>completed</t>
  </si>
  <si>
    <t>state.gpu</t>
  </si>
  <si>
    <t>NVIDIA GeForce RTX 4050 Laptop GPU</t>
  </si>
  <si>
    <t>state.compute_capability</t>
  </si>
  <si>
    <t>[8, 9]</t>
  </si>
  <si>
    <t>state.cuda</t>
  </si>
  <si>
    <t>12.8</t>
  </si>
  <si>
    <t>state.tensorrt</t>
  </si>
  <si>
    <t>10.16.1.11</t>
  </si>
  <si>
    <t>state.nvidia_driver_and_bus</t>
  </si>
  <si>
    <t>580.173.02, 00000000:01:00.0</t>
  </si>
  <si>
    <t>state.benchmark_repetitions</t>
  </si>
  <si>
    <t>preflight.checked_at_utc</t>
  </si>
  <si>
    <t>2026-09-04T02:07:22.482589+00:00</t>
  </si>
  <si>
    <t>preflight.python</t>
  </si>
  <si>
    <t>3.10.12</t>
  </si>
  <si>
    <t>preflight.platform</t>
  </si>
  <si>
    <t>Linux-6.8.0-136-generic-x86_64-with-glibc2.35</t>
  </si>
  <si>
    <t>preflight.nvidia_driver_and_bus</t>
  </si>
  <si>
    <t>preflight.dataset</t>
  </si>
  <si>
    <t>preflight.annotation_sha256</t>
  </si>
  <si>
    <t>preflight.test_images</t>
  </si>
  <si>
    <t>preflight.annotations</t>
  </si>
  <si>
    <t>preflight.free_disk_bytes</t>
  </si>
  <si>
    <t>preflight.minimum_free_disk_gib</t>
  </si>
  <si>
    <t>preflight.verified_data_files</t>
  </si>
  <si>
    <t>preflight.verified_onnx_manifest_entries</t>
  </si>
  <si>
    <t>preflight.verified_automation_manifest_entries</t>
  </si>
  <si>
    <t>preflight.package_versions.rfdetr</t>
  </si>
  <si>
    <t>1.8.1</t>
  </si>
  <si>
    <t>preflight.package_versions.torch</t>
  </si>
  <si>
    <t>2.10.0</t>
  </si>
  <si>
    <t>preflight.package_versions.torchvision</t>
  </si>
  <si>
    <t>0.25.0</t>
  </si>
  <si>
    <t>preflight.package_versions.tensorrt-cu13</t>
  </si>
  <si>
    <t>preflight.package_versions.pycocotools</t>
  </si>
  <si>
    <t>2.0.11</t>
  </si>
  <si>
    <t>preflight.package_versions.numpy</t>
  </si>
  <si>
    <t>2.2.6</t>
  </si>
  <si>
    <t>preflight.package_versions.XlsxWriter</t>
  </si>
  <si>
    <t>3.2.9</t>
  </si>
  <si>
    <t>environment.recorded_at_utc</t>
  </si>
  <si>
    <t>2026-09-04T02:07:23.700895+00:00</t>
  </si>
  <si>
    <t>environment.cpu</t>
  </si>
  <si>
    <t>AMD Ryzen 7 7735HS with Radeon Graphics</t>
  </si>
  <si>
    <t>environment.logical_cpus</t>
  </si>
  <si>
    <t>environment.physical_cpus</t>
  </si>
  <si>
    <t>environment.ram_total_bytes</t>
  </si>
  <si>
    <t>environment.platform</t>
  </si>
  <si>
    <t>environment.kernel</t>
  </si>
  <si>
    <t>6.8.0-136-generic</t>
  </si>
  <si>
    <t>environment.cpu_scaling_governor</t>
  </si>
  <si>
    <t>powersave</t>
  </si>
  <si>
    <t>environment.cpu_energy_performance_preference</t>
  </si>
  <si>
    <t>performance</t>
  </si>
  <si>
    <t>environment.platform_profile</t>
  </si>
  <si>
    <t>environment.ac_power_connected</t>
  </si>
  <si>
    <t>environment.gpu.name</t>
  </si>
  <si>
    <t>environment.gpu.memory.total</t>
  </si>
  <si>
    <t>6141</t>
  </si>
  <si>
    <t>environment.gpu.driver_version</t>
  </si>
  <si>
    <t>580.173.02</t>
  </si>
  <si>
    <t>environment.gpu.power.limit</t>
  </si>
  <si>
    <t>[N/A]</t>
  </si>
  <si>
    <t>environment.gpu.temperature.gpu</t>
  </si>
  <si>
    <t>43</t>
  </si>
  <si>
    <t>environment.gpu.clocks.sm</t>
  </si>
  <si>
    <t>210</t>
  </si>
  <si>
    <t>environment.gpu.clocks.mem</t>
  </si>
  <si>
    <t>405</t>
  </si>
  <si>
    <t>environment.gpu.pstate</t>
  </si>
  <si>
    <t>P8</t>
  </si>
  <si>
    <t>load_stabilization_protocol.enabled</t>
  </si>
  <si>
    <t>load_stabilization_protocol.required_platform_profile</t>
  </si>
  <si>
    <t>load_stabilization_protocol.required_cpu_energy_performance_preference</t>
  </si>
  <si>
    <t>load_stabilization_protocol.initial_settle_seconds</t>
  </si>
  <si>
    <t>load_stabilization_protocol.sample_interval_seconds</t>
  </si>
  <si>
    <t>load_stabilization_protocol.required_consecutive_samples</t>
  </si>
  <si>
    <t>load_stabilization_protocol.timeout_seconds</t>
  </si>
  <si>
    <t>load_stabilization_protocol.max_cpu_utilization_percent</t>
  </si>
  <si>
    <t>load_stabilization_protocol.max_gpu_utilization_percent</t>
  </si>
  <si>
    <t>load_stabilization_protocol.max_gpu_memory_utilization_percent</t>
  </si>
  <si>
    <t>load_stabilization_protocol.max_gpu_temperature_c</t>
  </si>
  <si>
    <t>load_stabilization_protocol.max_cpu_utilization_span_percent</t>
  </si>
  <si>
    <t>load_stabilization_protocol.max_gpu_utilization_span_percent</t>
  </si>
  <si>
    <t>load_stabilization_protocol.max_gpu_memory_utilization_span_percent</t>
  </si>
  <si>
    <t>load_stabilization_protocol.max_gpu_temperature_span_c</t>
  </si>
  <si>
    <t>load_stabilization_protocol.max_cpu_utilization_delta_from_reference_percent</t>
  </si>
  <si>
    <t>load_stabilization_protocol.max_gpu_utilization_delta_from_reference_percent</t>
  </si>
  <si>
    <t>load_stabilization_protocol.max_gpu_memory_utilization_delta_from_reference_percent</t>
  </si>
  <si>
    <t>load_stabilization_protocol.max_gpu_temperature_delta_from_reference_c</t>
  </si>
  <si>
    <t>load_stabilization_protocol.require_ac_power</t>
  </si>
  <si>
    <t>load_stabilization_protocol.recorded_sample_limit</t>
  </si>
  <si>
    <t>load_stabilization_reference.cpu_utilization_percent</t>
  </si>
  <si>
    <t>load_stabilization_reference.gpu_utilization_percent</t>
  </si>
  <si>
    <t>load_stabilization_reference.gpu_memory_utilization_percent</t>
  </si>
  <si>
    <t>load_stabilization_reference.gpu_temperature_c</t>
  </si>
  <si>
    <t>load_stabilization_reference.gpu_power_draw_w</t>
  </si>
  <si>
    <t>load_stabilization_reference.gpu_sm_clock_mhz</t>
  </si>
  <si>
    <t>load_stabilization_reference.gpu_memory_clock_mhz</t>
  </si>
  <si>
    <t>RF-DETR 경량화 2차 평가 통합 보고서</t>
  </si>
  <si>
    <t>엔진 생성부터 고정 test 정확도, 3회 반복 latency, 자원 사용량, 정확도 보존 gate와 Pareto 결과까지 한 파일에서 추적합니다.</t>
  </si>
  <si>
    <t>1차 전체 후보</t>
  </si>
  <si>
    <t>2차 평가 대상</t>
  </si>
  <si>
    <t>2차 완료</t>
  </si>
  <si>
    <t>2차 실패</t>
  </si>
  <si>
    <t>정확도 Gate 통과</t>
  </si>
  <si>
    <t>30 FPS 배포 후보</t>
  </si>
  <si>
    <t>판정 원칙</t>
  </si>
  <si>
    <t>1) 1차 정적평가 통과 후보 22개를 모두 실측합니다.
2) 엔진 생성 실패도 terminal 결과로 보존합니다.
3) 정확도는 고정 test 437장, 속도는 동일 32장 × 200회 × 3반복입니다.
4) B01 대비 정확도 보존 gate를 통과한 유효 측정만 Pareto에 투입합니다.
5) 주 Pareto는 Mask AP 최대화, median latency·engine 크기 최소화의 3축입니다.
   BBox AP, mIoU, P95와 GPU memory는 보조지표로 함께 보고합니다.
6) Pareto 중 median latency 33.33 ms 이하만 30 FPS 배포 후보로 표시합니다.
7) P95가 33.33 ms를 넘으면 경고하되 탈락 조건으로 사용하지 않습니다.
8) 반복 median CV가 5%를 넘으면 지연시간 3회를 한 번 다시 측정합니다.
   재측정 후에도 초과하면 Pareto에는 보존하고 최종 권장에서는 제외합니다.</t>
  </si>
  <si>
    <t>파일 내 시트</t>
  </si>
  <si>
    <t>분석결과</t>
  </si>
  <si>
    <t>논문용 비교와 B01 대비 변화·gate·Pareto</t>
  </si>
  <si>
    <t>원시결과</t>
  </si>
  <si>
    <t>1차/2차 후보 원시 집계값</t>
  </si>
  <si>
    <t>클래스별 정확도</t>
  </si>
  <si>
    <t>클래스별 bbox/mask AP·AR와 semantic IoU</t>
  </si>
  <si>
    <t>반복측정</t>
  </si>
  <si>
    <t>반복별 latency와 환경 추적값</t>
  </si>
  <si>
    <t>실패·제외</t>
  </si>
  <si>
    <t>정적 불통·엔진 실패·gate 제외 사유</t>
  </si>
  <si>
    <t>평가기준</t>
  </si>
  <si>
    <t>고정 지표·threshold·판정 규칙</t>
  </si>
  <si>
    <t>실험환경</t>
  </si>
  <si>
    <t>GPU/CUDA/TensorRT/Python/checksum 기록</t>
  </si>
</sst>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+0.000;-0.000;0.000"/>
    <numFmt numFmtId="167" formatCode="0.0%"/>
    <numFmt numFmtId="168" formatCode="0.0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5B6573"/>
      <name val="Calibri"/>
      <family val="2"/>
      <scheme val="minor"/>
    </font>
    <font>
      <b/>
      <sz val="11"/>
      <color rgb="FF44546A"/>
      <name val="Calibri"/>
      <family val="2"/>
      <scheme val="minor"/>
    </font>
    <font>
      <b/>
      <sz val="16"/>
      <color rgb="FF17365D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0" fontId="5" fillId="4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4">
    <dxf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정확도–지연시간 절충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Mask AP vs Median latency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2F75B5"/>
              </a:solidFill>
              <a:ln>
                <a:solidFill>
                  <a:srgbClr val="2F75B5"/>
                </a:solidFill>
              </a:ln>
            </c:spPr>
          </c:marker>
          <c:xVal>
            <c:numRef>
              <c:f>'_차트데이터'!$B$2:$B$22</c:f>
              <c:numCache>
                <c:formatCode>General</c:formatCode>
                <c:ptCount val="21"/>
                <c:pt idx="0">
                  <c:v>45.82025699710357</c:v>
                </c:pt>
                <c:pt idx="1">
                  <c:v>25.775210498977685</c:v>
                </c:pt>
                <c:pt idx="2">
                  <c:v>25.360001498484053</c:v>
                </c:pt>
                <c:pt idx="3">
                  <c:v>25.386515499121742</c:v>
                </c:pt>
                <c:pt idx="4">
                  <c:v>25.26247049900121</c:v>
                </c:pt>
                <c:pt idx="5">
                  <c:v>44.509862000268186</c:v>
                </c:pt>
                <c:pt idx="6">
                  <c:v>42.95711550003034</c:v>
                </c:pt>
                <c:pt idx="7">
                  <c:v>45.76865499984706</c:v>
                </c:pt>
                <c:pt idx="8">
                  <c:v>25.29960950050736</c:v>
                </c:pt>
                <c:pt idx="9">
                  <c:v>26.182795998465735</c:v>
                </c:pt>
                <c:pt idx="10">
                  <c:v>36.29605549576809</c:v>
                </c:pt>
                <c:pt idx="11">
                  <c:v>41.97326050052652</c:v>
                </c:pt>
                <c:pt idx="12">
                  <c:v>24.010295503103407</c:v>
                </c:pt>
                <c:pt idx="13">
                  <c:v>42.96294300002046</c:v>
                </c:pt>
                <c:pt idx="14">
                  <c:v>32.38640950439731</c:v>
                </c:pt>
                <c:pt idx="15">
                  <c:v>25.113971998507623</c:v>
                </c:pt>
                <c:pt idx="16">
                  <c:v>25.183493500662735</c:v>
                </c:pt>
                <c:pt idx="17">
                  <c:v>37.99387800245313</c:v>
                </c:pt>
                <c:pt idx="18">
                  <c:v>43.33256249810802</c:v>
                </c:pt>
                <c:pt idx="19">
                  <c:v>39.408903001458384</c:v>
                </c:pt>
                <c:pt idx="20">
                  <c:v>38.29855150252115</c:v>
                </c:pt>
              </c:numCache>
            </c:numRef>
          </c:xVal>
          <c:yVal>
            <c:numRef>
              <c:f>'_차트데이터'!$C$2:$C$22</c:f>
              <c:numCache>
                <c:formatCode>General</c:formatCode>
                <c:ptCount val="21"/>
                <c:pt idx="0">
                  <c:v>0.6026426958851505</c:v>
                </c:pt>
                <c:pt idx="1">
                  <c:v>0.6017216878776938</c:v>
                </c:pt>
                <c:pt idx="2">
                  <c:v>0.602749828431408</c:v>
                </c:pt>
                <c:pt idx="3">
                  <c:v>0.517988143310128</c:v>
                </c:pt>
                <c:pt idx="4">
                  <c:v>0.5148480302335408</c:v>
                </c:pt>
                <c:pt idx="5">
                  <c:v>0.6022300056180777</c:v>
                </c:pt>
                <c:pt idx="6">
                  <c:v>0.5850419797466627</c:v>
                </c:pt>
                <c:pt idx="7">
                  <c:v>0.5213500016890231</c:v>
                </c:pt>
                <c:pt idx="8">
                  <c:v>0.6029119261351803</c:v>
                </c:pt>
                <c:pt idx="9">
                  <c:v>0.6023425986945383</c:v>
                </c:pt>
                <c:pt idx="10">
                  <c:v>0.5939927335145</c:v>
                </c:pt>
                <c:pt idx="11">
                  <c:v>0.599605674186933</c:v>
                </c:pt>
                <c:pt idx="12">
                  <c:v>0.5941087991992697</c:v>
                </c:pt>
                <c:pt idx="13">
                  <c:v>0.5997268915175692</c:v>
                </c:pt>
                <c:pt idx="14">
                  <c:v>0.5865409277639649</c:v>
                </c:pt>
                <c:pt idx="15">
                  <c:v>0.47432176245291</c:v>
                </c:pt>
                <c:pt idx="16">
                  <c:v>0.48322281358260494</c:v>
                </c:pt>
                <c:pt idx="17">
                  <c:v>0.3702262102000943</c:v>
                </c:pt>
                <c:pt idx="18">
                  <c:v>0.5980977119052601</c:v>
                </c:pt>
                <c:pt idx="19">
                  <c:v>0.3540556583177658</c:v>
                </c:pt>
                <c:pt idx="20">
                  <c:v>0.3579247452931818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 latency (ms)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Mask AP</a:t>
                </a:r>
              </a:p>
            </c:rich>
          </c:tx>
          <c:layout/>
        </c:title>
        <c:numFmt formatCode="0.000" sourceLinked="0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TensorRT 엔진 크기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Engine MiB</c:v>
          </c:tx>
          <c:spPr>
            <a:solidFill>
              <a:srgbClr val="00A6A6"/>
            </a:solidFill>
            <a:ln>
              <a:noFill/>
            </a:ln>
          </c:spPr>
          <c:cat>
            <c:strRef>
              <c:f>'_차트데이터'!$A$2:$A$22</c:f>
              <c:strCache>
                <c:ptCount val="21"/>
                <c:pt idx="0">
                  <c:v>B01</c:v>
                </c:pt>
                <c:pt idx="1">
                  <c:v>B02</c:v>
                </c:pt>
                <c:pt idx="2">
                  <c:v>B03</c:v>
                </c:pt>
                <c:pt idx="3">
                  <c:v>M01</c:v>
                </c:pt>
                <c:pt idx="4">
                  <c:v>M02</c:v>
                </c:pt>
                <c:pt idx="5">
                  <c:v>S01</c:v>
                </c:pt>
                <c:pt idx="6">
                  <c:v>S02</c:v>
                </c:pt>
                <c:pt idx="7">
                  <c:v>S04</c:v>
                </c:pt>
                <c:pt idx="8">
                  <c:v>C01</c:v>
                </c:pt>
                <c:pt idx="9">
                  <c:v>C02</c:v>
                </c:pt>
                <c:pt idx="10">
                  <c:v>C03</c:v>
                </c:pt>
                <c:pt idx="11">
                  <c:v>C04</c:v>
                </c:pt>
                <c:pt idx="12">
                  <c:v>R01</c:v>
                </c:pt>
                <c:pt idx="13">
                  <c:v>R02</c:v>
                </c:pt>
                <c:pt idx="14">
                  <c:v>R03</c:v>
                </c:pt>
                <c:pt idx="15">
                  <c:v>Q01</c:v>
                </c:pt>
                <c:pt idx="16">
                  <c:v>Q02</c:v>
                </c:pt>
                <c:pt idx="17">
                  <c:v>Q04</c:v>
                </c:pt>
                <c:pt idx="18">
                  <c:v>Q05</c:v>
                </c:pt>
                <c:pt idx="19">
                  <c:v>Q06</c:v>
                </c:pt>
                <c:pt idx="20">
                  <c:v>Q07</c:v>
                </c:pt>
              </c:strCache>
            </c:strRef>
          </c:cat>
          <c:val>
            <c:numRef>
              <c:f>'_차트데이터'!$D$2:$D$22</c:f>
              <c:numCache>
                <c:formatCode>General</c:formatCode>
                <c:ptCount val="21"/>
                <c:pt idx="0">
                  <c:v>129.33994674682617</c:v>
                </c:pt>
                <c:pt idx="1">
                  <c:v>67.94259262084961</c:v>
                </c:pt>
                <c:pt idx="2">
                  <c:v>68.00632095336914</c:v>
                </c:pt>
                <c:pt idx="3">
                  <c:v>67.89997482299805</c:v>
                </c:pt>
                <c:pt idx="4">
                  <c:v>62.39285659790039</c:v>
                </c:pt>
                <c:pt idx="5">
                  <c:v>123.25446701049805</c:v>
                </c:pt>
                <c:pt idx="6">
                  <c:v>117.18737411499023</c:v>
                </c:pt>
                <c:pt idx="7">
                  <c:v>121.19233322143555</c:v>
                </c:pt>
                <c:pt idx="8">
                  <c:v>64.7291145324707</c:v>
                </c:pt>
                <c:pt idx="9">
                  <c:v>64.81132125854492</c:v>
                </c:pt>
                <c:pt idx="10">
                  <c:v>122.59409713745117</c:v>
                </c:pt>
                <c:pt idx="11">
                  <c:v>122.99455642700195</c:v>
                </c:pt>
                <c:pt idx="12">
                  <c:v>68.05361557006836</c:v>
                </c:pt>
                <c:pt idx="13">
                  <c:v>129.08879470825195</c:v>
                </c:pt>
                <c:pt idx="14">
                  <c:v>128.2463264465332</c:v>
                </c:pt>
                <c:pt idx="15">
                  <c:v>47.81473159790039</c:v>
                </c:pt>
                <c:pt idx="16">
                  <c:v>43.38985061645508</c:v>
                </c:pt>
                <c:pt idx="17">
                  <c:v>48.07638931274414</c:v>
                </c:pt>
                <c:pt idx="18">
                  <c:v>111.8322868347168</c:v>
                </c:pt>
                <c:pt idx="19">
                  <c:v>64.76676559448242</c:v>
                </c:pt>
                <c:pt idx="20">
                  <c:v>52.98740005493164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MiB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5</xdr:col>
      <xdr:colOff>800100</xdr:colOff>
      <xdr:row>33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15</xdr:col>
      <xdr:colOff>352425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valuationProtocol" displayName="EvaluationProtocol" ref="A1:C18" totalsRowShown="0">
  <autoFilter ref="A1:C18"/>
  <tableColumns count="3">
    <tableColumn id="1" name="항목"/>
    <tableColumn id="2" name="고정값"/>
    <tableColumn id="3" name="해석·재현 규칙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CandidateResults" displayName="RawCandidateResults" ref="A1:AY27" totalsRowShown="0">
  <autoFilter ref="A1:AY27"/>
  <tableColumns count="51">
    <tableColumn id="1" name="ID"/>
    <tableColumn id="2" name="경량화 계열"/>
    <tableColumn id="3" name="방식"/>
    <tableColumn id="4" name="정밀도"/>
    <tableColumn id="5" name="입력크기"/>
    <tableColumn id="6" name="1차 판정"/>
    <tableColumn id="7" name="1차 불통 사유"/>
    <tableColumn id="8" name="2차 상태"/>
    <tableColumn id="9" name="2차 실패 사유"/>
    <tableColumn id="10" name="BBox AP"/>
    <tableColumn id="11" name="BBox AP50"/>
    <tableColumn id="12" name="BBox AP75"/>
    <tableColumn id="13" name="BBox AP-small"/>
    <tableColumn id="14" name="BBox AP-medium"/>
    <tableColumn id="15" name="BBox AP-large"/>
    <tableColumn id="16" name="BBox AR100"/>
    <tableColumn id="17" name="Mask AP"/>
    <tableColumn id="18" name="Mask AP50"/>
    <tableColumn id="19" name="Mask AP75"/>
    <tableColumn id="20" name="Mask AP-small"/>
    <tableColumn id="21" name="Mask AP-medium"/>
    <tableColumn id="22" name="Mask AP-large"/>
    <tableColumn id="23" name="Mask AR100"/>
    <tableColumn id="24" name="Semantic mIoU"/>
    <tableColumn id="25" name="Mean ms"/>
    <tableColumn id="26" name="Median ms"/>
    <tableColumn id="27" name="P95 ms"/>
    <tableColumn id="28" name="P99 ms"/>
    <tableColumn id="29" name="IQR ms"/>
    <tableColumn id="30" name="전체 CV"/>
    <tableColumn id="31" name="반복 Median CV"/>
    <tableColumn id="32" name="반복 Median CI95 하한"/>
    <tableColumn id="33" name="반복 Median CI95 상한"/>
    <tableColumn id="34" name="FPS"/>
    <tableColumn id="35" name="GPU allocated bytes"/>
    <tableColumn id="36" name="GPU reserved bytes"/>
    <tableColumn id="37" name="Engine bytes"/>
    <tableColumn id="38" name="측정 반복 수"/>
    <tableColumn id="39" name="총 latency 횟수"/>
    <tableColumn id="40" name="Engine 경로"/>
    <tableColumn id="41" name="평가 JSON"/>
    <tableColumn id="42" name="Benchmark JSON 목록"/>
    <tableColumn id="43" name="Test 이미지 수"/>
    <tableColumn id="44" name="예측 수"/>
    <tableColumn id="45" name="Engine SHA256"/>
    <tableColumn id="46" name="Annotation SHA256"/>
    <tableColumn id="47" name="전체 Benchmark JSON 목록"/>
    <tableColumn id="48" name="CV 재측정 수행"/>
    <tableColumn id="49" name="CV 재측정 횟수"/>
    <tableColumn id="50" name="CV 불안정 미해결"/>
    <tableColumn id="51" name="Latency 측정 라운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nalyzedCandidateResults" displayName="AnalyzedCandidateResults" ref="A1:AI23" totalsRowShown="0">
  <autoFilter ref="A1:AI23"/>
  <tableColumns count="35">
    <tableColumn id="1" name="ID"/>
    <tableColumn id="2" name="계열"/>
    <tableColumn id="3" name="경량화 방식"/>
    <tableColumn id="4" name="정밀도"/>
    <tableColumn id="5" name="2차 상태"/>
    <tableColumn id="6" name="BBox AP"/>
    <tableColumn id="7" name="Mask AP"/>
    <tableColumn id="8" name="Semantic mIoU"/>
    <tableColumn id="9" name="BBox Δ vs B01"/>
    <tableColumn id="10" name="Mask Δ vs B01"/>
    <tableColumn id="11" name="mIoU Δ vs B01"/>
    <tableColumn id="12" name="Median ms"/>
    <tableColumn id="13" name="P95 ms"/>
    <tableColumn id="14" name="P99 ms"/>
    <tableColumn id="15" name="FPS"/>
    <tableColumn id="16" name="반복 Median CV"/>
    <tableColumn id="17" name="CI95 하한 ms"/>
    <tableColumn id="18" name="CI95 상한 ms"/>
    <tableColumn id="19" name="GPU allocated MiB"/>
    <tableColumn id="20" name="Engine MiB"/>
    <tableColumn id="21" name="Latency 감소율"/>
    <tableColumn id="22" name="Speedup"/>
    <tableColumn id="23" name="Memory 감소율"/>
    <tableColumn id="24" name="Engine 감소율"/>
    <tableColumn id="25" name="측정 유효"/>
    <tableColumn id="26" name="정확도 Gate"/>
    <tableColumn id="27" name="Pareto 대상"/>
    <tableColumn id="28" name="Pareto 최적"/>
    <tableColumn id="29" name="CV 재측정 경고"/>
    <tableColumn id="30" name="P95 예산 초과 경고"/>
    <tableColumn id="31" name="제외 사유"/>
    <tableColumn id="32" name="30 FPS 적합"/>
    <tableColumn id="33" name="최종 배포 후보"/>
    <tableColumn id="34" name="CV 재측정 수행"/>
    <tableColumn id="35" name="CV 불안정 미해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ailuresAndExclusions" displayName="FailuresAndExclusions" ref="A1:E22" totalsRowShown="0">
  <autoFilter ref="A1:E22"/>
  <tableColumns count="5">
    <tableColumn id="1" name="ID"/>
    <tableColumn id="2" name="단계"/>
    <tableColumn id="3" name="상태"/>
    <tableColumn id="4" name="불통·제외 사유"/>
    <tableColumn id="5" name="후속 조치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PerClassAccuracy" displayName="PerClassAccuracy" ref="A1:L85" totalsRowShown="0">
  <autoFilter ref="A1:L85"/>
  <tableColumns count="12">
    <tableColumn id="1" name="ID"/>
    <tableColumn id="2" name="Class ID"/>
    <tableColumn id="3" name="Class"/>
    <tableColumn id="4" name="BBox AP"/>
    <tableColumn id="5" name="BBox AP50"/>
    <tableColumn id="6" name="BBox AP75"/>
    <tableColumn id="7" name="BBox AR100"/>
    <tableColumn id="8" name="Mask AP"/>
    <tableColumn id="9" name="Mask AP50"/>
    <tableColumn id="10" name="Mask AP75"/>
    <tableColumn id="11" name="Mask AR100"/>
    <tableColumn id="12" name="Semantic IoU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atencyRepetitions" displayName="LatencyRepetitions" ref="A1:S64" totalsRowShown="0">
  <autoFilter ref="A1:S64"/>
  <tableColumns count="19">
    <tableColumn id="1" name="ID"/>
    <tableColumn id="2" name="전체 반복"/>
    <tableColumn id="3" name="측정 라운드"/>
    <tableColumn id="4" name="라운드 내 반복"/>
    <tableColumn id="5" name="공식 결과"/>
    <tableColumn id="6" name="표본 이미지"/>
    <tableColumn id="7" name="Warm-up"/>
    <tableColumn id="8" name="측정 횟수"/>
    <tableColumn id="9" name="Mean ms"/>
    <tableColumn id="10" name="Median ms"/>
    <tableColumn id="11" name="P95 ms"/>
    <tableColumn id="12" name="P99 ms"/>
    <tableColumn id="13" name="IQR ms"/>
    <tableColumn id="14" name="CV"/>
    <tableColumn id="15" name="FPS"/>
    <tableColumn id="16" name="GPU allocated bytes"/>
    <tableColumn id="17" name="GPU reserved bytes"/>
    <tableColumn id="18" name="Engine SHA256"/>
    <tableColumn id="19" name="고정 이미지 목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xperimentEnvironment" displayName="ExperimentEnvironment" ref="A1:B77" totalsRowShown="0">
  <autoFilter ref="A1:B77"/>
  <tableColumns count="2">
    <tableColumn id="1" name="환경 항목"/>
    <tableColumn id="2" name="기록값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24.7109375" customWidth="1"/>
    <col min="3" max="3" width="72.7109375" customWidth="1"/>
  </cols>
  <sheetData>
    <row r="1" spans="1:3" s="1" customFormat="1" ht="34" customHeigh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>
        <v>437</v>
      </c>
      <c r="C3" t="s">
        <v>7</v>
      </c>
    </row>
    <row r="4" spans="1:3">
      <c r="A4" t="s">
        <v>8</v>
      </c>
      <c r="B4">
        <v>0.001</v>
      </c>
      <c r="C4" t="s">
        <v>9</v>
      </c>
    </row>
    <row r="5" spans="1:3">
      <c r="A5" t="s">
        <v>10</v>
      </c>
      <c r="B5">
        <v>0.25</v>
      </c>
      <c r="C5" t="s">
        <v>11</v>
      </c>
    </row>
    <row r="6" spans="1:3">
      <c r="A6" t="s">
        <v>12</v>
      </c>
      <c r="B6">
        <v>32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>
        <v>3</v>
      </c>
      <c r="C8" t="s">
        <v>18</v>
      </c>
    </row>
    <row r="9" spans="1:3">
      <c r="A9" t="s">
        <v>19</v>
      </c>
      <c r="B9">
        <v>0.05</v>
      </c>
      <c r="C9" t="s">
        <v>20</v>
      </c>
    </row>
    <row r="10" spans="1:3">
      <c r="A10" t="s">
        <v>21</v>
      </c>
      <c r="B10">
        <v>0.01</v>
      </c>
      <c r="C10" t="s">
        <v>22</v>
      </c>
    </row>
    <row r="11" spans="1:3">
      <c r="A11" t="s">
        <v>23</v>
      </c>
      <c r="B11">
        <v>0.01</v>
      </c>
      <c r="C11" t="s">
        <v>22</v>
      </c>
    </row>
    <row r="12" spans="1:3">
      <c r="A12" t="s">
        <v>24</v>
      </c>
      <c r="B12">
        <v>0.02</v>
      </c>
      <c r="C12" t="s">
        <v>22</v>
      </c>
    </row>
    <row r="13" spans="1:3">
      <c r="A13" t="s">
        <v>25</v>
      </c>
      <c r="B13">
        <v>30</v>
      </c>
      <c r="C13" t="s">
        <v>26</v>
      </c>
    </row>
    <row r="14" spans="1:3">
      <c r="A14" t="s">
        <v>27</v>
      </c>
      <c r="B14">
        <v>33.33333333333334</v>
      </c>
      <c r="C14" t="s">
        <v>28</v>
      </c>
    </row>
    <row r="15" spans="1:3">
      <c r="A15" t="s">
        <v>29</v>
      </c>
      <c r="B15" t="s">
        <v>30</v>
      </c>
      <c r="C15" t="s">
        <v>31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37</v>
      </c>
    </row>
    <row r="18" spans="1:3">
      <c r="A18" t="s">
        <v>38</v>
      </c>
      <c r="B18" t="s">
        <v>39</v>
      </c>
      <c r="C18" t="s">
        <v>40</v>
      </c>
    </row>
    <row r="20" spans="1:3">
      <c r="A20" s="2" t="s">
        <v>41</v>
      </c>
    </row>
    <row r="21" spans="1:3">
      <c r="A21" s="1" t="s">
        <v>42</v>
      </c>
      <c r="B21" s="1" t="s">
        <v>43</v>
      </c>
    </row>
    <row r="22" spans="1:3">
      <c r="A22" t="s">
        <v>44</v>
      </c>
      <c r="B22" t="s">
        <v>45</v>
      </c>
    </row>
    <row r="23" spans="1:3">
      <c r="A23" t="s">
        <v>46</v>
      </c>
      <c r="B23" t="s">
        <v>47</v>
      </c>
    </row>
    <row r="24" spans="1:3">
      <c r="A24" t="s">
        <v>48</v>
      </c>
      <c r="B24" t="s">
        <v>49</v>
      </c>
    </row>
    <row r="25" spans="1:3">
      <c r="A25" t="s">
        <v>50</v>
      </c>
      <c r="B25" t="s">
        <v>51</v>
      </c>
    </row>
    <row r="26" spans="1:3">
      <c r="A26" t="s">
        <v>52</v>
      </c>
      <c r="B26" t="s">
        <v>53</v>
      </c>
    </row>
    <row r="27" spans="1:3">
      <c r="A27" t="s">
        <v>54</v>
      </c>
      <c r="B27" t="s">
        <v>55</v>
      </c>
    </row>
    <row r="28" spans="1:3">
      <c r="A28" t="s">
        <v>56</v>
      </c>
      <c r="B28" t="s">
        <v>57</v>
      </c>
    </row>
    <row r="29" spans="1:3">
      <c r="A29" t="s">
        <v>58</v>
      </c>
      <c r="B29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Y27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9.7109375" customWidth="1"/>
    <col min="2" max="2" width="16.7109375" customWidth="1"/>
    <col min="3" max="3" width="38.7109375" customWidth="1"/>
    <col min="4" max="8" width="14.7109375" customWidth="1"/>
    <col min="9" max="9" width="42.7109375" customWidth="1"/>
    <col min="10" max="24" width="13.7109375" style="3" customWidth="1"/>
    <col min="25" max="34" width="14.7109375" style="4" customWidth="1"/>
    <col min="35" max="37" width="18.7109375" customWidth="1"/>
    <col min="38" max="39" width="14.7109375" customWidth="1"/>
    <col min="40" max="42" width="46.7109375" customWidth="1"/>
    <col min="43" max="44" width="14.7109375" customWidth="1"/>
    <col min="45" max="47" width="66.7109375" customWidth="1"/>
    <col min="48" max="50" width="18.7109375" customWidth="1"/>
    <col min="51" max="51" width="80.7109375" style="5" customWidth="1"/>
  </cols>
  <sheetData>
    <row r="1" spans="1:51" s="1" customFormat="1" ht="42" customHeight="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36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52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108</v>
      </c>
    </row>
    <row r="2" spans="1:51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H2" t="s">
        <v>115</v>
      </c>
      <c r="J2" s="3">
        <v>0.7378589271657685</v>
      </c>
      <c r="K2" s="3">
        <v>0.9268739559620214</v>
      </c>
      <c r="L2" s="3">
        <v>0.7921449439777805</v>
      </c>
      <c r="M2" s="3">
        <v>0.3108272172948915</v>
      </c>
      <c r="N2" s="3">
        <v>0.6103673048630374</v>
      </c>
      <c r="O2" s="3">
        <v>0.8415875264113254</v>
      </c>
      <c r="P2" s="3">
        <v>0.8793871239311294</v>
      </c>
      <c r="Q2" s="3">
        <v>0.6026426958851505</v>
      </c>
      <c r="R2" s="3">
        <v>0.8399217797660261</v>
      </c>
      <c r="S2" s="3">
        <v>0.6488118849989394</v>
      </c>
      <c r="T2" s="3">
        <v>0.05679280617727269</v>
      </c>
      <c r="U2" s="3">
        <v>0.4886611760369282</v>
      </c>
      <c r="V2" s="3">
        <v>0.7159652185775518</v>
      </c>
      <c r="W2" s="3">
        <v>0.729644128492741</v>
      </c>
      <c r="X2" s="3">
        <v>0.7120070817052193</v>
      </c>
      <c r="Y2" s="4">
        <v>46.02215876308037</v>
      </c>
      <c r="Z2" s="4">
        <v>45.82025699710357</v>
      </c>
      <c r="AA2" s="4">
        <v>48.56151670392137</v>
      </c>
      <c r="AB2" s="4">
        <v>49.34060668594611</v>
      </c>
      <c r="AC2" s="4">
        <v>1.607631247679819</v>
      </c>
      <c r="AD2" s="4">
        <v>0.02790992839181308</v>
      </c>
      <c r="AE2" s="4">
        <v>0.001230759025871806</v>
      </c>
      <c r="AF2" s="4">
        <v>45.66059531378848</v>
      </c>
      <c r="AG2" s="4">
        <v>45.94067735038021</v>
      </c>
      <c r="AH2" s="4">
        <v>21.72866347161042</v>
      </c>
      <c r="AI2">
        <v>941561856</v>
      </c>
      <c r="AJ2">
        <v>1000341504</v>
      </c>
      <c r="AK2">
        <v>135622764</v>
      </c>
      <c r="AL2">
        <v>3</v>
      </c>
      <c r="AM2">
        <v>600</v>
      </c>
      <c r="AN2" t="s">
        <v>116</v>
      </c>
      <c r="AO2" t="s">
        <v>117</v>
      </c>
      <c r="AP2" t="s">
        <v>118</v>
      </c>
      <c r="AQ2">
        <v>437</v>
      </c>
      <c r="AR2">
        <v>86415</v>
      </c>
      <c r="AS2" t="s">
        <v>119</v>
      </c>
      <c r="AT2" t="s">
        <v>120</v>
      </c>
      <c r="AU2" t="s">
        <v>118</v>
      </c>
      <c r="AV2" t="b">
        <v>0</v>
      </c>
      <c r="AW2">
        <v>0</v>
      </c>
      <c r="AX2" t="b">
        <v>0</v>
      </c>
      <c r="AY2" s="5" t="s">
        <v>121</v>
      </c>
    </row>
    <row r="3" spans="1:51">
      <c r="A3" t="s">
        <v>122</v>
      </c>
      <c r="B3" t="s">
        <v>123</v>
      </c>
      <c r="C3" t="s">
        <v>124</v>
      </c>
      <c r="D3" t="s">
        <v>125</v>
      </c>
      <c r="E3" t="s">
        <v>113</v>
      </c>
      <c r="F3" t="s">
        <v>114</v>
      </c>
      <c r="H3" t="s">
        <v>115</v>
      </c>
      <c r="J3" s="3">
        <v>0.7415530084406021</v>
      </c>
      <c r="K3" s="3">
        <v>0.9275051218773379</v>
      </c>
      <c r="L3" s="3">
        <v>0.7930866276291076</v>
      </c>
      <c r="M3" s="3">
        <v>0.3139916431357683</v>
      </c>
      <c r="N3" s="3">
        <v>0.6360391797757647</v>
      </c>
      <c r="O3" s="3">
        <v>0.8468595654605359</v>
      </c>
      <c r="P3" s="3">
        <v>0.8803819874346566</v>
      </c>
      <c r="Q3" s="3">
        <v>0.6017216878776938</v>
      </c>
      <c r="R3" s="3">
        <v>0.8374940913575352</v>
      </c>
      <c r="S3" s="3">
        <v>0.648793643811385</v>
      </c>
      <c r="T3" s="3">
        <v>0.05334195308063992</v>
      </c>
      <c r="U3" s="3">
        <v>0.4868262687873972</v>
      </c>
      <c r="V3" s="3">
        <v>0.7146840996719729</v>
      </c>
      <c r="W3" s="3">
        <v>0.730692346522091</v>
      </c>
      <c r="X3" s="3">
        <v>0.7138475799724896</v>
      </c>
      <c r="Y3" s="4">
        <v>26.03973254671776</v>
      </c>
      <c r="Z3" s="4">
        <v>25.77521049897769</v>
      </c>
      <c r="AA3" s="4">
        <v>28.13015554893354</v>
      </c>
      <c r="AB3" s="4">
        <v>29.3213011570333</v>
      </c>
      <c r="AC3" s="4">
        <v>1.813791495806072</v>
      </c>
      <c r="AD3" s="4">
        <v>0.05122075683817659</v>
      </c>
      <c r="AE3" s="4">
        <v>0.02875807441561402</v>
      </c>
      <c r="AF3" s="4">
        <v>24.07314669636069</v>
      </c>
      <c r="AG3" s="4">
        <v>27.77761297286575</v>
      </c>
      <c r="AH3" s="4">
        <v>38.40285218774443</v>
      </c>
      <c r="AI3">
        <v>941561856</v>
      </c>
      <c r="AJ3">
        <v>1000341504</v>
      </c>
      <c r="AK3">
        <v>71242972</v>
      </c>
      <c r="AL3">
        <v>3</v>
      </c>
      <c r="AM3">
        <v>600</v>
      </c>
      <c r="AN3" t="s">
        <v>126</v>
      </c>
      <c r="AO3" t="s">
        <v>127</v>
      </c>
      <c r="AP3" t="s">
        <v>128</v>
      </c>
      <c r="AQ3">
        <v>437</v>
      </c>
      <c r="AR3">
        <v>86439</v>
      </c>
      <c r="AS3" t="s">
        <v>129</v>
      </c>
      <c r="AT3" t="s">
        <v>120</v>
      </c>
      <c r="AU3" t="s">
        <v>128</v>
      </c>
      <c r="AV3" t="b">
        <v>0</v>
      </c>
      <c r="AW3">
        <v>0</v>
      </c>
      <c r="AX3" t="b">
        <v>0</v>
      </c>
      <c r="AY3" s="5" t="s">
        <v>130</v>
      </c>
    </row>
    <row r="4" spans="1:51">
      <c r="A4" t="s">
        <v>131</v>
      </c>
      <c r="B4" t="s">
        <v>123</v>
      </c>
      <c r="C4" t="s">
        <v>132</v>
      </c>
      <c r="D4" t="s">
        <v>133</v>
      </c>
      <c r="E4" t="s">
        <v>113</v>
      </c>
      <c r="F4" t="s">
        <v>114</v>
      </c>
      <c r="H4" t="s">
        <v>115</v>
      </c>
      <c r="J4" s="3">
        <v>0.7421901253864573</v>
      </c>
      <c r="K4" s="3">
        <v>0.9283440854106519</v>
      </c>
      <c r="L4" s="3">
        <v>0.7952832340439254</v>
      </c>
      <c r="M4" s="3">
        <v>0.3125476992483247</v>
      </c>
      <c r="N4" s="3">
        <v>0.6342850842923609</v>
      </c>
      <c r="O4" s="3">
        <v>0.8478497259422241</v>
      </c>
      <c r="P4" s="3">
        <v>0.8784045379137204</v>
      </c>
      <c r="Q4" s="3">
        <v>0.602749828431408</v>
      </c>
      <c r="R4" s="3">
        <v>0.8396094796758079</v>
      </c>
      <c r="S4" s="3">
        <v>0.6474215696365945</v>
      </c>
      <c r="T4" s="3">
        <v>0.05379373335353572</v>
      </c>
      <c r="U4" s="3">
        <v>0.4862388916525704</v>
      </c>
      <c r="V4" s="3">
        <v>0.7151903388283486</v>
      </c>
      <c r="W4" s="3">
        <v>0.7297329328771308</v>
      </c>
      <c r="X4" s="3">
        <v>0.712443682711115</v>
      </c>
      <c r="Y4" s="4">
        <v>25.69592826318209</v>
      </c>
      <c r="Z4" s="4">
        <v>25.36000149848405</v>
      </c>
      <c r="AA4" s="4">
        <v>27.90341525142139</v>
      </c>
      <c r="AB4" s="4">
        <v>29.42401655709545</v>
      </c>
      <c r="AC4" s="4">
        <v>1.667965001615812</v>
      </c>
      <c r="AD4" s="4">
        <v>0.04783266890661529</v>
      </c>
      <c r="AE4" s="4">
        <v>0.02264303164311767</v>
      </c>
      <c r="AF4" s="4">
        <v>24.03858758434517</v>
      </c>
      <c r="AG4" s="4">
        <v>26.90427374761145</v>
      </c>
      <c r="AH4" s="4">
        <v>38.91667153479839</v>
      </c>
      <c r="AI4">
        <v>941561856</v>
      </c>
      <c r="AJ4">
        <v>1000341504</v>
      </c>
      <c r="AK4">
        <v>71309796</v>
      </c>
      <c r="AL4">
        <v>3</v>
      </c>
      <c r="AM4">
        <v>600</v>
      </c>
      <c r="AN4" t="s">
        <v>134</v>
      </c>
      <c r="AO4" t="s">
        <v>135</v>
      </c>
      <c r="AP4" t="s">
        <v>136</v>
      </c>
      <c r="AQ4">
        <v>437</v>
      </c>
      <c r="AR4">
        <v>86420</v>
      </c>
      <c r="AS4" t="s">
        <v>137</v>
      </c>
      <c r="AT4" t="s">
        <v>120</v>
      </c>
      <c r="AU4" t="s">
        <v>136</v>
      </c>
      <c r="AV4" t="b">
        <v>0</v>
      </c>
      <c r="AW4">
        <v>0</v>
      </c>
      <c r="AX4" t="b">
        <v>0</v>
      </c>
      <c r="AY4" s="5" t="s">
        <v>138</v>
      </c>
    </row>
    <row r="5" spans="1:51">
      <c r="A5" t="s">
        <v>139</v>
      </c>
      <c r="B5" t="s">
        <v>140</v>
      </c>
      <c r="C5" t="s">
        <v>141</v>
      </c>
      <c r="D5" t="s">
        <v>112</v>
      </c>
      <c r="E5" t="s">
        <v>113</v>
      </c>
      <c r="F5" t="s">
        <v>142</v>
      </c>
      <c r="G5" t="s">
        <v>143</v>
      </c>
      <c r="H5" t="s">
        <v>144</v>
      </c>
      <c r="AV5" t="b">
        <v>0</v>
      </c>
      <c r="AW5">
        <v>0</v>
      </c>
      <c r="AX5" t="b">
        <v>0</v>
      </c>
    </row>
    <row r="6" spans="1:51">
      <c r="A6" t="s">
        <v>145</v>
      </c>
      <c r="B6" t="s">
        <v>140</v>
      </c>
      <c r="C6" t="s">
        <v>141</v>
      </c>
      <c r="D6" t="s">
        <v>112</v>
      </c>
      <c r="E6" t="s">
        <v>113</v>
      </c>
      <c r="F6" t="s">
        <v>142</v>
      </c>
      <c r="G6" t="s">
        <v>143</v>
      </c>
      <c r="H6" t="s">
        <v>144</v>
      </c>
      <c r="AV6" t="b">
        <v>0</v>
      </c>
      <c r="AW6">
        <v>0</v>
      </c>
      <c r="AX6" t="b">
        <v>0</v>
      </c>
    </row>
    <row r="7" spans="1:51">
      <c r="A7" t="s">
        <v>146</v>
      </c>
      <c r="B7" t="s">
        <v>140</v>
      </c>
      <c r="C7" t="s">
        <v>141</v>
      </c>
      <c r="D7" t="s">
        <v>112</v>
      </c>
      <c r="E7" t="s">
        <v>113</v>
      </c>
      <c r="F7" t="s">
        <v>142</v>
      </c>
      <c r="G7" t="s">
        <v>143</v>
      </c>
      <c r="H7" t="s">
        <v>144</v>
      </c>
      <c r="AV7" t="b">
        <v>0</v>
      </c>
      <c r="AW7">
        <v>0</v>
      </c>
      <c r="AX7" t="b">
        <v>0</v>
      </c>
    </row>
    <row r="8" spans="1:51">
      <c r="A8" t="s">
        <v>147</v>
      </c>
      <c r="B8" t="s">
        <v>148</v>
      </c>
      <c r="C8" t="s">
        <v>149</v>
      </c>
      <c r="D8" t="s">
        <v>125</v>
      </c>
      <c r="E8" t="s">
        <v>113</v>
      </c>
      <c r="F8" t="s">
        <v>114</v>
      </c>
      <c r="H8" t="s">
        <v>115</v>
      </c>
      <c r="J8" s="3">
        <v>0.6345828690273081</v>
      </c>
      <c r="K8" s="3">
        <v>0.9066032122687276</v>
      </c>
      <c r="L8" s="3">
        <v>0.6978480344394071</v>
      </c>
      <c r="M8" s="3">
        <v>0.2240494740389379</v>
      </c>
      <c r="N8" s="3">
        <v>0.5768438833150134</v>
      </c>
      <c r="O8" s="3">
        <v>0.7365292069606161</v>
      </c>
      <c r="P8" s="3">
        <v>0.7877063098121311</v>
      </c>
      <c r="Q8" s="3">
        <v>0.517988143310128</v>
      </c>
      <c r="R8" s="3">
        <v>0.8030065832256142</v>
      </c>
      <c r="S8" s="3">
        <v>0.5591948804271022</v>
      </c>
      <c r="T8" s="3">
        <v>0.04313978915326772</v>
      </c>
      <c r="U8" s="3">
        <v>0.2944273394184036</v>
      </c>
      <c r="V8" s="3">
        <v>0.6398070949785498</v>
      </c>
      <c r="W8" s="3">
        <v>0.6773796443427956</v>
      </c>
      <c r="X8" s="3">
        <v>0.6826235848602537</v>
      </c>
      <c r="Y8" s="4">
        <v>25.63867021832266</v>
      </c>
      <c r="Z8" s="4">
        <v>25.38651549912174</v>
      </c>
      <c r="AA8" s="4">
        <v>27.63004189873755</v>
      </c>
      <c r="AB8" s="4">
        <v>28.27079090340703</v>
      </c>
      <c r="AC8" s="4">
        <v>1.279692001844523</v>
      </c>
      <c r="AD8" s="4">
        <v>0.03969823553594402</v>
      </c>
      <c r="AE8" s="4">
        <v>0.009584037272303062</v>
      </c>
      <c r="AF8" s="4">
        <v>24.79342111522205</v>
      </c>
      <c r="AG8" s="4">
        <v>26.00288054915505</v>
      </c>
      <c r="AH8" s="4">
        <v>39.00358292706424</v>
      </c>
      <c r="AI8">
        <v>941561856</v>
      </c>
      <c r="AJ8">
        <v>1000341504</v>
      </c>
      <c r="AK8">
        <v>71198284</v>
      </c>
      <c r="AL8">
        <v>3</v>
      </c>
      <c r="AM8">
        <v>600</v>
      </c>
      <c r="AN8" t="s">
        <v>150</v>
      </c>
      <c r="AO8" t="s">
        <v>151</v>
      </c>
      <c r="AP8" t="s">
        <v>152</v>
      </c>
      <c r="AQ8">
        <v>437</v>
      </c>
      <c r="AR8">
        <v>87264</v>
      </c>
      <c r="AS8" t="s">
        <v>153</v>
      </c>
      <c r="AT8" t="s">
        <v>120</v>
      </c>
      <c r="AU8" t="s">
        <v>152</v>
      </c>
      <c r="AV8" t="b">
        <v>0</v>
      </c>
      <c r="AW8">
        <v>0</v>
      </c>
      <c r="AX8" t="b">
        <v>0</v>
      </c>
      <c r="AY8" s="5" t="s">
        <v>154</v>
      </c>
    </row>
    <row r="9" spans="1:51">
      <c r="A9" t="s">
        <v>155</v>
      </c>
      <c r="B9" t="s">
        <v>148</v>
      </c>
      <c r="C9" t="s">
        <v>149</v>
      </c>
      <c r="D9" t="s">
        <v>125</v>
      </c>
      <c r="E9" t="s">
        <v>113</v>
      </c>
      <c r="F9" t="s">
        <v>114</v>
      </c>
      <c r="H9" t="s">
        <v>115</v>
      </c>
      <c r="J9" s="3">
        <v>0.6323803622749981</v>
      </c>
      <c r="K9" s="3">
        <v>0.9051394892406524</v>
      </c>
      <c r="L9" s="3">
        <v>0.7002936630194493</v>
      </c>
      <c r="M9" s="3">
        <v>0.2300444485119061</v>
      </c>
      <c r="N9" s="3">
        <v>0.6466274780332826</v>
      </c>
      <c r="O9" s="3">
        <v>0.7340556473144345</v>
      </c>
      <c r="P9" s="3">
        <v>0.7849560561396349</v>
      </c>
      <c r="Q9" s="3">
        <v>0.5148480302335408</v>
      </c>
      <c r="R9" s="3">
        <v>0.7977061108149173</v>
      </c>
      <c r="S9" s="3">
        <v>0.5585710767517705</v>
      </c>
      <c r="T9" s="3">
        <v>0.04074880212589527</v>
      </c>
      <c r="U9" s="3">
        <v>0.3049099714816371</v>
      </c>
      <c r="V9" s="3">
        <v>0.6389520950785644</v>
      </c>
      <c r="W9" s="3">
        <v>0.6723818226287619</v>
      </c>
      <c r="X9" s="3">
        <v>0.6751028359197037</v>
      </c>
      <c r="Y9" s="4">
        <v>25.6274095683572</v>
      </c>
      <c r="Z9" s="4">
        <v>25.26247049900121</v>
      </c>
      <c r="AA9" s="4">
        <v>28.14596914649882</v>
      </c>
      <c r="AB9" s="4">
        <v>29.20788465933583</v>
      </c>
      <c r="AC9" s="4">
        <v>1.702035498965415</v>
      </c>
      <c r="AD9" s="4">
        <v>0.06199429912510068</v>
      </c>
      <c r="AE9" s="4">
        <v>0.005740374355430834</v>
      </c>
      <c r="AF9" s="4">
        <v>24.89929467224574</v>
      </c>
      <c r="AG9" s="4">
        <v>25.61974832780058</v>
      </c>
      <c r="AH9" s="4">
        <v>39.02072104996225</v>
      </c>
      <c r="AI9">
        <v>941561856</v>
      </c>
      <c r="AJ9">
        <v>1000341504</v>
      </c>
      <c r="AK9">
        <v>65423652</v>
      </c>
      <c r="AL9">
        <v>3</v>
      </c>
      <c r="AM9">
        <v>600</v>
      </c>
      <c r="AN9" t="s">
        <v>156</v>
      </c>
      <c r="AO9" t="s">
        <v>157</v>
      </c>
      <c r="AP9" t="s">
        <v>158</v>
      </c>
      <c r="AQ9">
        <v>437</v>
      </c>
      <c r="AR9">
        <v>87258</v>
      </c>
      <c r="AS9" t="s">
        <v>159</v>
      </c>
      <c r="AT9" t="s">
        <v>120</v>
      </c>
      <c r="AU9" t="s">
        <v>158</v>
      </c>
      <c r="AV9" t="b">
        <v>0</v>
      </c>
      <c r="AW9">
        <v>0</v>
      </c>
      <c r="AX9" t="b">
        <v>0</v>
      </c>
      <c r="AY9" s="5" t="s">
        <v>160</v>
      </c>
    </row>
    <row r="10" spans="1:51">
      <c r="A10" t="s">
        <v>161</v>
      </c>
      <c r="B10" t="s">
        <v>162</v>
      </c>
      <c r="C10" t="s">
        <v>163</v>
      </c>
      <c r="D10" t="s">
        <v>112</v>
      </c>
      <c r="E10" t="s">
        <v>113</v>
      </c>
      <c r="F10" t="s">
        <v>114</v>
      </c>
      <c r="H10" t="s">
        <v>115</v>
      </c>
      <c r="J10" s="3">
        <v>0.7389992702819812</v>
      </c>
      <c r="K10" s="3">
        <v>0.9339003048650467</v>
      </c>
      <c r="L10" s="3">
        <v>0.7907324434051439</v>
      </c>
      <c r="M10" s="3">
        <v>0.2827859748157129</v>
      </c>
      <c r="N10" s="3">
        <v>0.5624136069334063</v>
      </c>
      <c r="O10" s="3">
        <v>0.8448316781821551</v>
      </c>
      <c r="P10" s="3">
        <v>0.8736058243951713</v>
      </c>
      <c r="Q10" s="3">
        <v>0.6022300056180777</v>
      </c>
      <c r="R10" s="3">
        <v>0.8437673446660442</v>
      </c>
      <c r="S10" s="3">
        <v>0.6591472482934229</v>
      </c>
      <c r="T10" s="3">
        <v>0.05560609881632403</v>
      </c>
      <c r="U10" s="3">
        <v>0.4551544060176449</v>
      </c>
      <c r="V10" s="3">
        <v>0.7108976359206587</v>
      </c>
      <c r="W10" s="3">
        <v>0.7313176825802522</v>
      </c>
      <c r="X10" s="3">
        <v>0.7338994811052602</v>
      </c>
      <c r="Y10" s="4">
        <v>44.67714401807219</v>
      </c>
      <c r="Z10" s="4">
        <v>44.50986200026819</v>
      </c>
      <c r="AA10" s="4">
        <v>46.95399169904703</v>
      </c>
      <c r="AB10" s="4">
        <v>47.97766403615241</v>
      </c>
      <c r="AC10" s="4">
        <v>1.919685499160551</v>
      </c>
      <c r="AD10" s="4">
        <v>0.02909474971306967</v>
      </c>
      <c r="AE10" s="4">
        <v>0.01164210492646165</v>
      </c>
      <c r="AF10" s="4">
        <v>43.25048991560818</v>
      </c>
      <c r="AG10" s="4">
        <v>45.8268677479708</v>
      </c>
      <c r="AH10" s="4">
        <v>22.38280942030434</v>
      </c>
      <c r="AI10">
        <v>941561856</v>
      </c>
      <c r="AJ10">
        <v>1000341504</v>
      </c>
      <c r="AK10">
        <v>129241676</v>
      </c>
      <c r="AL10">
        <v>3</v>
      </c>
      <c r="AM10">
        <v>600</v>
      </c>
      <c r="AN10" t="s">
        <v>164</v>
      </c>
      <c r="AO10" t="s">
        <v>165</v>
      </c>
      <c r="AP10" t="s">
        <v>166</v>
      </c>
      <c r="AQ10">
        <v>437</v>
      </c>
      <c r="AR10">
        <v>87120</v>
      </c>
      <c r="AS10" t="s">
        <v>167</v>
      </c>
      <c r="AT10" t="s">
        <v>120</v>
      </c>
      <c r="AU10" t="s">
        <v>166</v>
      </c>
      <c r="AV10" t="b">
        <v>0</v>
      </c>
      <c r="AW10">
        <v>0</v>
      </c>
      <c r="AX10" t="b">
        <v>0</v>
      </c>
      <c r="AY10" s="5" t="s">
        <v>168</v>
      </c>
    </row>
    <row r="11" spans="1:51">
      <c r="A11" t="s">
        <v>169</v>
      </c>
      <c r="B11" t="s">
        <v>162</v>
      </c>
      <c r="C11" t="s">
        <v>163</v>
      </c>
      <c r="D11" t="s">
        <v>112</v>
      </c>
      <c r="E11" t="s">
        <v>113</v>
      </c>
      <c r="F11" t="s">
        <v>114</v>
      </c>
      <c r="H11" t="s">
        <v>115</v>
      </c>
      <c r="J11" s="3">
        <v>0.7161213328372058</v>
      </c>
      <c r="K11" s="3">
        <v>0.9245232363702137</v>
      </c>
      <c r="L11" s="3">
        <v>0.7750870289005215</v>
      </c>
      <c r="M11" s="3">
        <v>0.3049834182091494</v>
      </c>
      <c r="N11" s="3">
        <v>0.6302001302183599</v>
      </c>
      <c r="O11" s="3">
        <v>0.8210755146097616</v>
      </c>
      <c r="P11" s="3">
        <v>0.8755654798568346</v>
      </c>
      <c r="Q11" s="3">
        <v>0.5850419797466627</v>
      </c>
      <c r="R11" s="3">
        <v>0.8246511509749055</v>
      </c>
      <c r="S11" s="3">
        <v>0.6385949400909041</v>
      </c>
      <c r="T11" s="3">
        <v>0.05039664476847534</v>
      </c>
      <c r="U11" s="3">
        <v>0.4488039832790011</v>
      </c>
      <c r="V11" s="3">
        <v>0.7059797642722884</v>
      </c>
      <c r="W11" s="3">
        <v>0.7241024058480653</v>
      </c>
      <c r="X11" s="3">
        <v>0.7531286481742853</v>
      </c>
      <c r="Y11" s="4">
        <v>43.10953846836734</v>
      </c>
      <c r="Z11" s="4">
        <v>42.95711550003034</v>
      </c>
      <c r="AA11" s="4">
        <v>45.106496605149</v>
      </c>
      <c r="AB11" s="4">
        <v>45.9787016408518</v>
      </c>
      <c r="AC11" s="4">
        <v>1.065531747372006</v>
      </c>
      <c r="AD11" s="4">
        <v>0.02282776506468528</v>
      </c>
      <c r="AE11" s="4">
        <v>0.005551494122696149</v>
      </c>
      <c r="AF11" s="4">
        <v>42.34599028478794</v>
      </c>
      <c r="AG11" s="4">
        <v>43.53037904746645</v>
      </c>
      <c r="AH11" s="4">
        <v>23.19672247787515</v>
      </c>
      <c r="AI11">
        <v>941561856</v>
      </c>
      <c r="AJ11">
        <v>1000341504</v>
      </c>
      <c r="AK11">
        <v>122879868</v>
      </c>
      <c r="AL11">
        <v>3</v>
      </c>
      <c r="AM11">
        <v>600</v>
      </c>
      <c r="AN11" t="s">
        <v>170</v>
      </c>
      <c r="AO11" t="s">
        <v>171</v>
      </c>
      <c r="AP11" t="s">
        <v>172</v>
      </c>
      <c r="AQ11">
        <v>437</v>
      </c>
      <c r="AR11">
        <v>85836</v>
      </c>
      <c r="AS11" t="s">
        <v>173</v>
      </c>
      <c r="AT11" t="s">
        <v>120</v>
      </c>
      <c r="AU11" t="s">
        <v>172</v>
      </c>
      <c r="AV11" t="b">
        <v>0</v>
      </c>
      <c r="AW11">
        <v>0</v>
      </c>
      <c r="AX11" t="b">
        <v>0</v>
      </c>
      <c r="AY11" s="5" t="s">
        <v>174</v>
      </c>
    </row>
    <row r="12" spans="1:51">
      <c r="A12" t="s">
        <v>175</v>
      </c>
      <c r="B12" t="s">
        <v>162</v>
      </c>
      <c r="C12" t="s">
        <v>176</v>
      </c>
      <c r="D12" t="s">
        <v>112</v>
      </c>
      <c r="E12" t="s">
        <v>113</v>
      </c>
      <c r="F12" t="s">
        <v>142</v>
      </c>
      <c r="G12" t="s">
        <v>143</v>
      </c>
      <c r="H12" t="s">
        <v>144</v>
      </c>
      <c r="AV12" t="b">
        <v>0</v>
      </c>
      <c r="AW12">
        <v>0</v>
      </c>
      <c r="AX12" t="b">
        <v>0</v>
      </c>
    </row>
    <row r="13" spans="1:51">
      <c r="A13" t="s">
        <v>177</v>
      </c>
      <c r="B13" t="s">
        <v>162</v>
      </c>
      <c r="C13" t="s">
        <v>176</v>
      </c>
      <c r="D13" t="s">
        <v>112</v>
      </c>
      <c r="E13" t="s">
        <v>113</v>
      </c>
      <c r="F13" t="s">
        <v>114</v>
      </c>
      <c r="H13" t="s">
        <v>115</v>
      </c>
      <c r="J13" s="3">
        <v>0.5180516359118821</v>
      </c>
      <c r="K13" s="3">
        <v>0.8589535704838495</v>
      </c>
      <c r="L13" s="3">
        <v>0.5845971368127594</v>
      </c>
      <c r="M13" s="3">
        <v>0.1614118415440802</v>
      </c>
      <c r="N13" s="3">
        <v>0.3736749652854666</v>
      </c>
      <c r="O13" s="3">
        <v>0.5842179739223072</v>
      </c>
      <c r="P13" s="3">
        <v>0.7204825107348503</v>
      </c>
      <c r="Q13" s="3">
        <v>0.5213500016890231</v>
      </c>
      <c r="R13" s="3">
        <v>0.7965053880640579</v>
      </c>
      <c r="S13" s="3">
        <v>0.5546988822653518</v>
      </c>
      <c r="T13" s="3">
        <v>0.04346100210524973</v>
      </c>
      <c r="U13" s="3">
        <v>0.3436729152004812</v>
      </c>
      <c r="V13" s="3">
        <v>0.6249359387461625</v>
      </c>
      <c r="W13" s="3">
        <v>0.7126610884295617</v>
      </c>
      <c r="X13" s="3">
        <v>0.6475576194715931</v>
      </c>
      <c r="Y13" s="4">
        <v>45.88998402826595</v>
      </c>
      <c r="Z13" s="4">
        <v>45.76865499984706</v>
      </c>
      <c r="AA13" s="4">
        <v>48.07662969978992</v>
      </c>
      <c r="AB13" s="4">
        <v>48.89365582101163</v>
      </c>
      <c r="AC13" s="4">
        <v>1.62231425565551</v>
      </c>
      <c r="AD13" s="4">
        <v>0.02550292798124478</v>
      </c>
      <c r="AE13" s="4">
        <v>0.005799672497766354</v>
      </c>
      <c r="AF13" s="4">
        <v>45.09938319864546</v>
      </c>
      <c r="AG13" s="4">
        <v>46.41799746565425</v>
      </c>
      <c r="AH13" s="4">
        <v>21.79124750586206</v>
      </c>
      <c r="AI13">
        <v>941561856</v>
      </c>
      <c r="AJ13">
        <v>1000341504</v>
      </c>
      <c r="AK13">
        <v>127079372</v>
      </c>
      <c r="AL13">
        <v>3</v>
      </c>
      <c r="AM13">
        <v>600</v>
      </c>
      <c r="AN13" t="s">
        <v>178</v>
      </c>
      <c r="AO13" t="s">
        <v>179</v>
      </c>
      <c r="AP13" t="s">
        <v>180</v>
      </c>
      <c r="AQ13">
        <v>437</v>
      </c>
      <c r="AR13">
        <v>83756</v>
      </c>
      <c r="AS13" t="s">
        <v>181</v>
      </c>
      <c r="AT13" t="s">
        <v>120</v>
      </c>
      <c r="AU13" t="s">
        <v>180</v>
      </c>
      <c r="AV13" t="b">
        <v>0</v>
      </c>
      <c r="AW13">
        <v>0</v>
      </c>
      <c r="AX13" t="b">
        <v>0</v>
      </c>
      <c r="AY13" s="5" t="s">
        <v>182</v>
      </c>
    </row>
    <row r="14" spans="1:51">
      <c r="A14" t="s">
        <v>183</v>
      </c>
      <c r="B14" t="s">
        <v>184</v>
      </c>
      <c r="C14" t="s">
        <v>185</v>
      </c>
      <c r="D14" t="s">
        <v>125</v>
      </c>
      <c r="E14" t="s">
        <v>113</v>
      </c>
      <c r="F14" t="s">
        <v>114</v>
      </c>
      <c r="H14" t="s">
        <v>115</v>
      </c>
      <c r="J14" s="3">
        <v>0.738597901902575</v>
      </c>
      <c r="K14" s="3">
        <v>0.9359410615277045</v>
      </c>
      <c r="L14" s="3">
        <v>0.7924916805209145</v>
      </c>
      <c r="M14" s="3">
        <v>0.2779313552831788</v>
      </c>
      <c r="N14" s="3">
        <v>0.5567115122369054</v>
      </c>
      <c r="O14" s="3">
        <v>0.8417660311406839</v>
      </c>
      <c r="P14" s="3">
        <v>0.8752296601943022</v>
      </c>
      <c r="Q14" s="3">
        <v>0.6029119261351803</v>
      </c>
      <c r="R14" s="3">
        <v>0.8414925820154284</v>
      </c>
      <c r="S14" s="3">
        <v>0.6562434314308484</v>
      </c>
      <c r="T14" s="3">
        <v>0.05571456425996243</v>
      </c>
      <c r="U14" s="3">
        <v>0.4483125129222714</v>
      </c>
      <c r="V14" s="3">
        <v>0.7132881723417649</v>
      </c>
      <c r="W14" s="3">
        <v>0.7335722604027154</v>
      </c>
      <c r="X14" s="3">
        <v>0.7366895364204816</v>
      </c>
      <c r="Y14" s="4">
        <v>25.55492105160132</v>
      </c>
      <c r="Z14" s="4">
        <v>25.29960950050736</v>
      </c>
      <c r="AA14" s="4">
        <v>27.51168169488664</v>
      </c>
      <c r="AB14" s="4">
        <v>28.20130314830749</v>
      </c>
      <c r="AC14" s="4">
        <v>1.742603497405071</v>
      </c>
      <c r="AD14" s="4">
        <v>0.04375444129429452</v>
      </c>
      <c r="AE14" s="4">
        <v>0.02911082833010531</v>
      </c>
      <c r="AF14" s="4">
        <v>23.59833650741497</v>
      </c>
      <c r="AG14" s="4">
        <v>27.27775349248352</v>
      </c>
      <c r="AH14" s="4">
        <v>39.13140635342868</v>
      </c>
      <c r="AI14">
        <v>941561856</v>
      </c>
      <c r="AJ14">
        <v>1000341504</v>
      </c>
      <c r="AK14">
        <v>67873396</v>
      </c>
      <c r="AL14">
        <v>3</v>
      </c>
      <c r="AM14">
        <v>600</v>
      </c>
      <c r="AN14" t="s">
        <v>186</v>
      </c>
      <c r="AO14" t="s">
        <v>187</v>
      </c>
      <c r="AP14" t="s">
        <v>188</v>
      </c>
      <c r="AQ14">
        <v>437</v>
      </c>
      <c r="AR14">
        <v>87115</v>
      </c>
      <c r="AS14" t="s">
        <v>189</v>
      </c>
      <c r="AT14" t="s">
        <v>120</v>
      </c>
      <c r="AU14" t="s">
        <v>188</v>
      </c>
      <c r="AV14" t="b">
        <v>0</v>
      </c>
      <c r="AW14">
        <v>0</v>
      </c>
      <c r="AX14" t="b">
        <v>0</v>
      </c>
      <c r="AY14" s="5" t="s">
        <v>190</v>
      </c>
    </row>
    <row r="15" spans="1:51">
      <c r="A15" t="s">
        <v>191</v>
      </c>
      <c r="B15" t="s">
        <v>184</v>
      </c>
      <c r="C15" t="s">
        <v>185</v>
      </c>
      <c r="D15" t="s">
        <v>133</v>
      </c>
      <c r="E15" t="s">
        <v>113</v>
      </c>
      <c r="F15" t="s">
        <v>114</v>
      </c>
      <c r="H15" t="s">
        <v>115</v>
      </c>
      <c r="J15" s="3">
        <v>0.7400863602009445</v>
      </c>
      <c r="K15" s="3">
        <v>0.935629372031065</v>
      </c>
      <c r="L15" s="3">
        <v>0.7946246808446918</v>
      </c>
      <c r="M15" s="3">
        <v>0.2807025861333039</v>
      </c>
      <c r="N15" s="3">
        <v>0.5667246210482796</v>
      </c>
      <c r="O15" s="3">
        <v>0.8420302932483863</v>
      </c>
      <c r="P15" s="3">
        <v>0.8750164909589727</v>
      </c>
      <c r="Q15" s="3">
        <v>0.6023425986945383</v>
      </c>
      <c r="R15" s="3">
        <v>0.8436519912250661</v>
      </c>
      <c r="S15" s="3">
        <v>0.6540234660019252</v>
      </c>
      <c r="T15" s="3">
        <v>0.05474042594410672</v>
      </c>
      <c r="U15" s="3">
        <v>0.4557714431677525</v>
      </c>
      <c r="V15" s="3">
        <v>0.7087602648651024</v>
      </c>
      <c r="W15" s="3">
        <v>0.7341994491445925</v>
      </c>
      <c r="X15" s="3">
        <v>0.741211228206296</v>
      </c>
      <c r="Y15" s="4">
        <v>26.00111180150028</v>
      </c>
      <c r="Z15" s="4">
        <v>26.18279599846574</v>
      </c>
      <c r="AA15" s="4">
        <v>27.42526150286722</v>
      </c>
      <c r="AB15" s="4">
        <v>27.94653781667876</v>
      </c>
      <c r="AC15" s="4">
        <v>1.399168497300707</v>
      </c>
      <c r="AD15" s="4">
        <v>0.03801355272331603</v>
      </c>
      <c r="AE15" s="4">
        <v>0.008494843897792766</v>
      </c>
      <c r="AF15" s="4">
        <v>25.58145613738922</v>
      </c>
      <c r="AG15" s="4">
        <v>26.6844798620685</v>
      </c>
      <c r="AH15" s="4">
        <v>38.4598938550889</v>
      </c>
      <c r="AI15">
        <v>941561856</v>
      </c>
      <c r="AJ15">
        <v>1000341504</v>
      </c>
      <c r="AK15">
        <v>67959596</v>
      </c>
      <c r="AL15">
        <v>3</v>
      </c>
      <c r="AM15">
        <v>600</v>
      </c>
      <c r="AN15" t="s">
        <v>192</v>
      </c>
      <c r="AO15" t="s">
        <v>193</v>
      </c>
      <c r="AP15" t="s">
        <v>194</v>
      </c>
      <c r="AQ15">
        <v>437</v>
      </c>
      <c r="AR15">
        <v>87107</v>
      </c>
      <c r="AS15" t="s">
        <v>195</v>
      </c>
      <c r="AT15" t="s">
        <v>120</v>
      </c>
      <c r="AU15" t="s">
        <v>194</v>
      </c>
      <c r="AV15" t="b">
        <v>0</v>
      </c>
      <c r="AW15">
        <v>0</v>
      </c>
      <c r="AX15" t="b">
        <v>0</v>
      </c>
      <c r="AY15" s="5" t="s">
        <v>196</v>
      </c>
    </row>
    <row r="16" spans="1:51">
      <c r="A16" t="s">
        <v>197</v>
      </c>
      <c r="B16" t="s">
        <v>184</v>
      </c>
      <c r="C16" t="s">
        <v>198</v>
      </c>
      <c r="D16" t="s">
        <v>112</v>
      </c>
      <c r="E16" t="s">
        <v>199</v>
      </c>
      <c r="F16" t="s">
        <v>114</v>
      </c>
      <c r="H16" t="s">
        <v>115</v>
      </c>
      <c r="J16" s="3">
        <v>0.7318819382580608</v>
      </c>
      <c r="K16" s="3">
        <v>0.9322202331545338</v>
      </c>
      <c r="L16" s="3">
        <v>0.7920879512190363</v>
      </c>
      <c r="M16" s="3">
        <v>0.2643611430997656</v>
      </c>
      <c r="N16" s="3">
        <v>0.5930876711377386</v>
      </c>
      <c r="O16" s="3">
        <v>0.8433496460214314</v>
      </c>
      <c r="P16" s="3">
        <v>0.8670514027097019</v>
      </c>
      <c r="Q16" s="3">
        <v>0.5939927335145</v>
      </c>
      <c r="R16" s="3">
        <v>0.8389463587441868</v>
      </c>
      <c r="S16" s="3">
        <v>0.6519845513450481</v>
      </c>
      <c r="T16" s="3">
        <v>0.04484513473963772</v>
      </c>
      <c r="U16" s="3">
        <v>0.4637476642744076</v>
      </c>
      <c r="V16" s="3">
        <v>0.701879801515664</v>
      </c>
      <c r="W16" s="3">
        <v>0.7177416449149157</v>
      </c>
      <c r="X16" s="3">
        <v>0.7353064144990077</v>
      </c>
      <c r="Y16" s="4">
        <v>36.20896065676789</v>
      </c>
      <c r="Z16" s="4">
        <v>36.29605549576809</v>
      </c>
      <c r="AA16" s="4">
        <v>37.83398185187252</v>
      </c>
      <c r="AB16" s="4">
        <v>38.43529751844471</v>
      </c>
      <c r="AC16" s="4">
        <v>1.536031748401001</v>
      </c>
      <c r="AD16" s="4">
        <v>0.0306906236801397</v>
      </c>
      <c r="AE16" s="4">
        <v>0.00487708089505782</v>
      </c>
      <c r="AF16" s="4">
        <v>35.86461110025129</v>
      </c>
      <c r="AG16" s="4">
        <v>36.744364569079</v>
      </c>
      <c r="AH16" s="4">
        <v>27.61747318513789</v>
      </c>
      <c r="AI16">
        <v>936573952</v>
      </c>
      <c r="AJ16">
        <v>977272832</v>
      </c>
      <c r="AK16">
        <v>128549228</v>
      </c>
      <c r="AL16">
        <v>3</v>
      </c>
      <c r="AM16">
        <v>600</v>
      </c>
      <c r="AN16" t="s">
        <v>200</v>
      </c>
      <c r="AO16" t="s">
        <v>201</v>
      </c>
      <c r="AP16" t="s">
        <v>202</v>
      </c>
      <c r="AQ16">
        <v>437</v>
      </c>
      <c r="AR16">
        <v>87063</v>
      </c>
      <c r="AS16" t="s">
        <v>203</v>
      </c>
      <c r="AT16" t="s">
        <v>120</v>
      </c>
      <c r="AU16" t="s">
        <v>202</v>
      </c>
      <c r="AV16" t="b">
        <v>0</v>
      </c>
      <c r="AW16">
        <v>0</v>
      </c>
      <c r="AX16" t="b">
        <v>0</v>
      </c>
      <c r="AY16" s="5" t="s">
        <v>204</v>
      </c>
    </row>
    <row r="17" spans="1:51">
      <c r="A17" t="s">
        <v>205</v>
      </c>
      <c r="B17" t="s">
        <v>184</v>
      </c>
      <c r="C17" t="s">
        <v>198</v>
      </c>
      <c r="D17" t="s">
        <v>112</v>
      </c>
      <c r="E17" t="s">
        <v>206</v>
      </c>
      <c r="F17" t="s">
        <v>114</v>
      </c>
      <c r="H17" t="s">
        <v>115</v>
      </c>
      <c r="J17" s="3">
        <v>0.7310415390195883</v>
      </c>
      <c r="K17" s="3">
        <v>0.9364720875459759</v>
      </c>
      <c r="L17" s="3">
        <v>0.7831944601512114</v>
      </c>
      <c r="M17" s="3">
        <v>0.2701885896624858</v>
      </c>
      <c r="N17" s="3">
        <v>0.4792788136209696</v>
      </c>
      <c r="O17" s="3">
        <v>0.8440515383416898</v>
      </c>
      <c r="P17" s="3">
        <v>0.8716904812567168</v>
      </c>
      <c r="Q17" s="3">
        <v>0.599605674186933</v>
      </c>
      <c r="R17" s="3">
        <v>0.8442760136040285</v>
      </c>
      <c r="S17" s="3">
        <v>0.6457183546606786</v>
      </c>
      <c r="T17" s="3">
        <v>0.04358168506952879</v>
      </c>
      <c r="U17" s="3">
        <v>0.3721858106570243</v>
      </c>
      <c r="V17" s="3">
        <v>0.7064103481892694</v>
      </c>
      <c r="W17" s="3">
        <v>0.7276417921756191</v>
      </c>
      <c r="X17" s="3">
        <v>0.7281783411589681</v>
      </c>
      <c r="Y17" s="4">
        <v>41.76035177317923</v>
      </c>
      <c r="Z17" s="4">
        <v>41.97326050052652</v>
      </c>
      <c r="AA17" s="4">
        <v>43.17550875166489</v>
      </c>
      <c r="AB17" s="4">
        <v>43.62850303696177</v>
      </c>
      <c r="AC17" s="4">
        <v>1.315502497163834</v>
      </c>
      <c r="AD17" s="4">
        <v>0.02376242395301062</v>
      </c>
      <c r="AE17" s="4">
        <v>0.002552756139084348</v>
      </c>
      <c r="AF17" s="4">
        <v>41.68941190833523</v>
      </c>
      <c r="AG17" s="4">
        <v>42.22156775689852</v>
      </c>
      <c r="AH17" s="4">
        <v>23.94615843830737</v>
      </c>
      <c r="AI17">
        <v>939813376</v>
      </c>
      <c r="AJ17">
        <v>981467136</v>
      </c>
      <c r="AK17">
        <v>128969140</v>
      </c>
      <c r="AL17">
        <v>3</v>
      </c>
      <c r="AM17">
        <v>600</v>
      </c>
      <c r="AN17" t="s">
        <v>207</v>
      </c>
      <c r="AO17" t="s">
        <v>208</v>
      </c>
      <c r="AP17" t="s">
        <v>209</v>
      </c>
      <c r="AQ17">
        <v>437</v>
      </c>
      <c r="AR17">
        <v>87129</v>
      </c>
      <c r="AS17" t="s">
        <v>210</v>
      </c>
      <c r="AT17" t="s">
        <v>120</v>
      </c>
      <c r="AU17" t="s">
        <v>209</v>
      </c>
      <c r="AV17" t="b">
        <v>0</v>
      </c>
      <c r="AW17">
        <v>0</v>
      </c>
      <c r="AX17" t="b">
        <v>0</v>
      </c>
      <c r="AY17" s="5" t="s">
        <v>211</v>
      </c>
    </row>
    <row r="18" spans="1:51">
      <c r="A18" t="s">
        <v>212</v>
      </c>
      <c r="B18" t="s">
        <v>213</v>
      </c>
      <c r="C18" t="s">
        <v>214</v>
      </c>
      <c r="D18" t="s">
        <v>125</v>
      </c>
      <c r="E18" t="s">
        <v>199</v>
      </c>
      <c r="F18" t="s">
        <v>114</v>
      </c>
      <c r="H18" t="s">
        <v>115</v>
      </c>
      <c r="J18" s="3">
        <v>0.7287984799915459</v>
      </c>
      <c r="K18" s="3">
        <v>0.9246300291965575</v>
      </c>
      <c r="L18" s="3">
        <v>0.7803742773978024</v>
      </c>
      <c r="M18" s="3">
        <v>0.2749672636981775</v>
      </c>
      <c r="N18" s="3">
        <v>0.5342058803864995</v>
      </c>
      <c r="O18" s="3">
        <v>0.8430068647604106</v>
      </c>
      <c r="P18" s="3">
        <v>0.8679237263940097</v>
      </c>
      <c r="Q18" s="3">
        <v>0.5941087991992697</v>
      </c>
      <c r="R18" s="3">
        <v>0.8326864464469744</v>
      </c>
      <c r="S18" s="3">
        <v>0.6361196031266156</v>
      </c>
      <c r="T18" s="3">
        <v>0.04670559335993692</v>
      </c>
      <c r="U18" s="3">
        <v>0.5256950287925706</v>
      </c>
      <c r="V18" s="3">
        <v>0.7109112992546921</v>
      </c>
      <c r="W18" s="3">
        <v>0.7142220850683234</v>
      </c>
      <c r="X18" s="3">
        <v>0.7034388832290747</v>
      </c>
      <c r="Y18" s="4">
        <v>24.10513504356156</v>
      </c>
      <c r="Z18" s="4">
        <v>24.01029550310341</v>
      </c>
      <c r="AA18" s="4">
        <v>25.82094540157414</v>
      </c>
      <c r="AB18" s="4">
        <v>26.43697994106333</v>
      </c>
      <c r="AC18" s="4">
        <v>1.959679253559443</v>
      </c>
      <c r="AD18" s="4">
        <v>0.04679100793673208</v>
      </c>
      <c r="AE18" s="4">
        <v>0.03824869827552258</v>
      </c>
      <c r="AF18" s="4">
        <v>21.72827670675453</v>
      </c>
      <c r="AG18" s="4">
        <v>26.29121895981582</v>
      </c>
      <c r="AH18" s="4">
        <v>41.48493664079673</v>
      </c>
      <c r="AI18">
        <v>936573952</v>
      </c>
      <c r="AJ18">
        <v>977272832</v>
      </c>
      <c r="AK18">
        <v>71359388</v>
      </c>
      <c r="AL18">
        <v>3</v>
      </c>
      <c r="AM18">
        <v>600</v>
      </c>
      <c r="AN18" t="s">
        <v>215</v>
      </c>
      <c r="AO18" t="s">
        <v>216</v>
      </c>
      <c r="AP18" t="s">
        <v>217</v>
      </c>
      <c r="AQ18">
        <v>437</v>
      </c>
      <c r="AR18">
        <v>86457</v>
      </c>
      <c r="AS18" t="s">
        <v>218</v>
      </c>
      <c r="AT18" t="s">
        <v>120</v>
      </c>
      <c r="AU18" t="s">
        <v>217</v>
      </c>
      <c r="AV18" t="b">
        <v>0</v>
      </c>
      <c r="AW18">
        <v>0</v>
      </c>
      <c r="AX18" t="b">
        <v>0</v>
      </c>
      <c r="AY18" s="5" t="s">
        <v>219</v>
      </c>
    </row>
    <row r="19" spans="1:51">
      <c r="A19" t="s">
        <v>220</v>
      </c>
      <c r="B19" t="s">
        <v>213</v>
      </c>
      <c r="C19" t="s">
        <v>214</v>
      </c>
      <c r="D19" t="s">
        <v>112</v>
      </c>
      <c r="E19" t="s">
        <v>206</v>
      </c>
      <c r="F19" t="s">
        <v>114</v>
      </c>
      <c r="H19" t="s">
        <v>115</v>
      </c>
      <c r="J19" s="3">
        <v>0.7329731311010346</v>
      </c>
      <c r="K19" s="3">
        <v>0.9252375929791357</v>
      </c>
      <c r="L19" s="3">
        <v>0.7789656919797115</v>
      </c>
      <c r="M19" s="3">
        <v>0.2754308333438719</v>
      </c>
      <c r="N19" s="3">
        <v>0.5163820240099521</v>
      </c>
      <c r="O19" s="3">
        <v>0.8447947057057178</v>
      </c>
      <c r="P19" s="3">
        <v>0.8781966363835834</v>
      </c>
      <c r="Q19" s="3">
        <v>0.5997268915175692</v>
      </c>
      <c r="R19" s="3">
        <v>0.8412961717754037</v>
      </c>
      <c r="S19" s="3">
        <v>0.6382843982603958</v>
      </c>
      <c r="T19" s="3">
        <v>0.05004571385718491</v>
      </c>
      <c r="U19" s="3">
        <v>0.3898645022258965</v>
      </c>
      <c r="V19" s="3">
        <v>0.7085936147015047</v>
      </c>
      <c r="W19" s="3">
        <v>0.7271833912158736</v>
      </c>
      <c r="X19" s="3">
        <v>0.7107549105524779</v>
      </c>
      <c r="Y19" s="4">
        <v>42.84024187001099</v>
      </c>
      <c r="Z19" s="4">
        <v>42.96294300002046</v>
      </c>
      <c r="AA19" s="4">
        <v>44.72060505286208</v>
      </c>
      <c r="AB19" s="4">
        <v>45.70533483325562</v>
      </c>
      <c r="AC19" s="4">
        <v>1.85004249397025</v>
      </c>
      <c r="AD19" s="4">
        <v>0.03002173116233085</v>
      </c>
      <c r="AE19" s="4">
        <v>0.01259339805367014</v>
      </c>
      <c r="AF19" s="4">
        <v>41.47482925676148</v>
      </c>
      <c r="AG19" s="4">
        <v>44.15382974199612</v>
      </c>
      <c r="AH19" s="4">
        <v>23.34253861204317</v>
      </c>
      <c r="AI19">
        <v>939813376</v>
      </c>
      <c r="AJ19">
        <v>981467136</v>
      </c>
      <c r="AK19">
        <v>135359412</v>
      </c>
      <c r="AL19">
        <v>3</v>
      </c>
      <c r="AM19">
        <v>600</v>
      </c>
      <c r="AN19" t="s">
        <v>221</v>
      </c>
      <c r="AO19" t="s">
        <v>222</v>
      </c>
      <c r="AP19" t="s">
        <v>223</v>
      </c>
      <c r="AQ19">
        <v>437</v>
      </c>
      <c r="AR19">
        <v>86477</v>
      </c>
      <c r="AS19" t="s">
        <v>224</v>
      </c>
      <c r="AT19" t="s">
        <v>120</v>
      </c>
      <c r="AU19" t="s">
        <v>223</v>
      </c>
      <c r="AV19" t="b">
        <v>0</v>
      </c>
      <c r="AW19">
        <v>0</v>
      </c>
      <c r="AX19" t="b">
        <v>0</v>
      </c>
      <c r="AY19" s="5" t="s">
        <v>225</v>
      </c>
    </row>
    <row r="20" spans="1:51">
      <c r="A20" t="s">
        <v>226</v>
      </c>
      <c r="B20" t="s">
        <v>213</v>
      </c>
      <c r="C20" t="s">
        <v>214</v>
      </c>
      <c r="D20" t="s">
        <v>112</v>
      </c>
      <c r="E20" t="s">
        <v>227</v>
      </c>
      <c r="F20" t="s">
        <v>114</v>
      </c>
      <c r="H20" t="s">
        <v>115</v>
      </c>
      <c r="J20" s="3">
        <v>0.7264564082481132</v>
      </c>
      <c r="K20" s="3">
        <v>0.9329505158409681</v>
      </c>
      <c r="L20" s="3">
        <v>0.7667819624989041</v>
      </c>
      <c r="M20" s="3">
        <v>0.237834555764621</v>
      </c>
      <c r="N20" s="3">
        <v>0.5444707631991951</v>
      </c>
      <c r="O20" s="3">
        <v>0.8460256294060681</v>
      </c>
      <c r="P20" s="3">
        <v>0.8680585160473518</v>
      </c>
      <c r="Q20" s="3">
        <v>0.5865409277639649</v>
      </c>
      <c r="R20" s="3">
        <v>0.8156595151329519</v>
      </c>
      <c r="S20" s="3">
        <v>0.6388196719300908</v>
      </c>
      <c r="T20" s="3">
        <v>0.03168388946913445</v>
      </c>
      <c r="U20" s="3">
        <v>0.3448571879853294</v>
      </c>
      <c r="V20" s="3">
        <v>0.702572323987006</v>
      </c>
      <c r="W20" s="3">
        <v>0.7018951571815482</v>
      </c>
      <c r="X20" s="3">
        <v>0.7281027967504808</v>
      </c>
      <c r="Y20" s="4">
        <v>32.54698420144754</v>
      </c>
      <c r="Z20" s="4">
        <v>32.38640950439731</v>
      </c>
      <c r="AA20" s="4">
        <v>34.87514885164273</v>
      </c>
      <c r="AB20" s="4">
        <v>36.24967907417157</v>
      </c>
      <c r="AC20" s="4">
        <v>1.830089249779121</v>
      </c>
      <c r="AD20" s="4">
        <v>0.04362668058889962</v>
      </c>
      <c r="AE20" s="4">
        <v>0.01847867354756684</v>
      </c>
      <c r="AF20" s="4">
        <v>30.92473606349131</v>
      </c>
      <c r="AG20" s="4">
        <v>33.90069493400081</v>
      </c>
      <c r="AH20" s="4">
        <v>30.72481289850273</v>
      </c>
      <c r="AI20">
        <v>933675520</v>
      </c>
      <c r="AJ20">
        <v>966787072</v>
      </c>
      <c r="AK20">
        <v>134476020</v>
      </c>
      <c r="AL20">
        <v>3</v>
      </c>
      <c r="AM20">
        <v>600</v>
      </c>
      <c r="AN20" t="s">
        <v>228</v>
      </c>
      <c r="AO20" t="s">
        <v>229</v>
      </c>
      <c r="AP20" t="s">
        <v>230</v>
      </c>
      <c r="AQ20">
        <v>437</v>
      </c>
      <c r="AR20">
        <v>86546</v>
      </c>
      <c r="AS20" t="s">
        <v>231</v>
      </c>
      <c r="AT20" t="s">
        <v>120</v>
      </c>
      <c r="AU20" t="s">
        <v>230</v>
      </c>
      <c r="AV20" t="b">
        <v>0</v>
      </c>
      <c r="AW20">
        <v>0</v>
      </c>
      <c r="AX20" t="b">
        <v>0</v>
      </c>
      <c r="AY20" s="5" t="s">
        <v>232</v>
      </c>
    </row>
    <row r="21" spans="1:51">
      <c r="A21" t="s">
        <v>233</v>
      </c>
      <c r="B21" t="s">
        <v>123</v>
      </c>
      <c r="C21" t="s">
        <v>234</v>
      </c>
      <c r="D21" t="s">
        <v>133</v>
      </c>
      <c r="E21" t="s">
        <v>113</v>
      </c>
      <c r="F21" t="s">
        <v>114</v>
      </c>
      <c r="H21" t="s">
        <v>115</v>
      </c>
      <c r="J21" s="3">
        <v>0.5931518623325061</v>
      </c>
      <c r="K21" s="3">
        <v>0.8192457909077178</v>
      </c>
      <c r="L21" s="3">
        <v>0.6744182991633434</v>
      </c>
      <c r="M21" s="3">
        <v>0.0439113463101176</v>
      </c>
      <c r="N21" s="3">
        <v>0.4679029672815765</v>
      </c>
      <c r="O21" s="3">
        <v>0.758448333104057</v>
      </c>
      <c r="P21" s="3">
        <v>0.7708824484625559</v>
      </c>
      <c r="Q21" s="3">
        <v>0.47432176245291</v>
      </c>
      <c r="R21" s="3">
        <v>0.6855633513219301</v>
      </c>
      <c r="S21" s="3">
        <v>0.5452047737710902</v>
      </c>
      <c r="T21" s="3">
        <v>0.002619723978981869</v>
      </c>
      <c r="U21" s="3">
        <v>0.3973912234791928</v>
      </c>
      <c r="V21" s="3">
        <v>0.5383624219447309</v>
      </c>
      <c r="W21" s="3">
        <v>0.5772562473117075</v>
      </c>
      <c r="X21" s="3">
        <v>0.6590965538365575</v>
      </c>
      <c r="Y21" s="4">
        <v>25.41692105497835</v>
      </c>
      <c r="Z21" s="4">
        <v>25.11397199850762</v>
      </c>
      <c r="AA21" s="4">
        <v>27.84945969469845</v>
      </c>
      <c r="AB21" s="4">
        <v>28.66369779185333</v>
      </c>
      <c r="AC21" s="4">
        <v>1.316716499786708</v>
      </c>
      <c r="AD21" s="4">
        <v>0.04673736158091026</v>
      </c>
      <c r="AE21" s="4">
        <v>0.01094970893219685</v>
      </c>
      <c r="AF21" s="4">
        <v>24.42461222824067</v>
      </c>
      <c r="AG21" s="4">
        <v>25.7906057696614</v>
      </c>
      <c r="AH21" s="4">
        <v>39.34386851330022</v>
      </c>
      <c r="AI21">
        <v>941561856</v>
      </c>
      <c r="AJ21">
        <v>1000341504</v>
      </c>
      <c r="AK21">
        <v>50137380</v>
      </c>
      <c r="AL21">
        <v>3</v>
      </c>
      <c r="AM21">
        <v>600</v>
      </c>
      <c r="AN21" t="s">
        <v>235</v>
      </c>
      <c r="AO21" t="s">
        <v>236</v>
      </c>
      <c r="AP21" t="s">
        <v>237</v>
      </c>
      <c r="AQ21">
        <v>437</v>
      </c>
      <c r="AR21">
        <v>85921</v>
      </c>
      <c r="AS21" t="s">
        <v>238</v>
      </c>
      <c r="AT21" t="s">
        <v>120</v>
      </c>
      <c r="AU21" t="s">
        <v>237</v>
      </c>
      <c r="AV21" t="b">
        <v>0</v>
      </c>
      <c r="AW21">
        <v>0</v>
      </c>
      <c r="AX21" t="b">
        <v>0</v>
      </c>
      <c r="AY21" s="5" t="s">
        <v>239</v>
      </c>
    </row>
    <row r="22" spans="1:51">
      <c r="A22" t="s">
        <v>240</v>
      </c>
      <c r="B22" t="s">
        <v>123</v>
      </c>
      <c r="C22" t="s">
        <v>241</v>
      </c>
      <c r="D22" t="s">
        <v>242</v>
      </c>
      <c r="E22" t="s">
        <v>113</v>
      </c>
      <c r="F22" t="s">
        <v>114</v>
      </c>
      <c r="H22" t="s">
        <v>115</v>
      </c>
      <c r="J22" s="3">
        <v>0.5964751478628372</v>
      </c>
      <c r="K22" s="3">
        <v>0.825783559075982</v>
      </c>
      <c r="L22" s="3">
        <v>0.6692936134097379</v>
      </c>
      <c r="M22" s="3">
        <v>0.0609981789920745</v>
      </c>
      <c r="N22" s="3">
        <v>0.4366875412223145</v>
      </c>
      <c r="O22" s="3">
        <v>0.753661726839238</v>
      </c>
      <c r="P22" s="3">
        <v>0.7701149534941822</v>
      </c>
      <c r="Q22" s="3">
        <v>0.4832228135826049</v>
      </c>
      <c r="R22" s="3">
        <v>0.6897675733778152</v>
      </c>
      <c r="S22" s="3">
        <v>0.5744500077108872</v>
      </c>
      <c r="T22" s="3">
        <v>0.002137048094288038</v>
      </c>
      <c r="U22" s="3">
        <v>0.2943414713214972</v>
      </c>
      <c r="V22" s="3">
        <v>0.5470180329562678</v>
      </c>
      <c r="W22" s="3">
        <v>0.5814190064057232</v>
      </c>
      <c r="X22" s="3">
        <v>0.650427116319593</v>
      </c>
      <c r="Y22" s="4">
        <v>25.43866979140148</v>
      </c>
      <c r="Z22" s="4">
        <v>25.18349350066273</v>
      </c>
      <c r="AA22" s="4">
        <v>27.59679680384579</v>
      </c>
      <c r="AB22" s="4">
        <v>28.43294816477282</v>
      </c>
      <c r="AC22" s="4">
        <v>1.560991997394012</v>
      </c>
      <c r="AD22" s="4">
        <v>0.04608006537571419</v>
      </c>
      <c r="AE22" s="4">
        <v>0.01318441649414913</v>
      </c>
      <c r="AF22" s="4">
        <v>24.47950842876084</v>
      </c>
      <c r="AG22" s="4">
        <v>26.13744390722501</v>
      </c>
      <c r="AH22" s="4">
        <v>39.31023155691929</v>
      </c>
      <c r="AI22">
        <v>941561856</v>
      </c>
      <c r="AJ22">
        <v>1000341504</v>
      </c>
      <c r="AK22">
        <v>45497556</v>
      </c>
      <c r="AL22">
        <v>3</v>
      </c>
      <c r="AM22">
        <v>600</v>
      </c>
      <c r="AN22" t="s">
        <v>243</v>
      </c>
      <c r="AO22" t="s">
        <v>244</v>
      </c>
      <c r="AP22" t="s">
        <v>245</v>
      </c>
      <c r="AQ22">
        <v>437</v>
      </c>
      <c r="AR22">
        <v>85786</v>
      </c>
      <c r="AS22" t="s">
        <v>246</v>
      </c>
      <c r="AT22" t="s">
        <v>120</v>
      </c>
      <c r="AU22" t="s">
        <v>245</v>
      </c>
      <c r="AV22" t="b">
        <v>0</v>
      </c>
      <c r="AW22">
        <v>0</v>
      </c>
      <c r="AX22" t="b">
        <v>0</v>
      </c>
      <c r="AY22" s="5" t="s">
        <v>247</v>
      </c>
    </row>
    <row r="23" spans="1:51">
      <c r="A23" t="s">
        <v>248</v>
      </c>
      <c r="B23" t="s">
        <v>123</v>
      </c>
      <c r="C23" t="s">
        <v>249</v>
      </c>
      <c r="D23" t="s">
        <v>250</v>
      </c>
      <c r="E23" t="s">
        <v>113</v>
      </c>
      <c r="F23" t="s">
        <v>114</v>
      </c>
      <c r="H23" t="s">
        <v>251</v>
      </c>
      <c r="I23" t="s">
        <v>252</v>
      </c>
      <c r="AV23" t="b">
        <v>0</v>
      </c>
      <c r="AW23">
        <v>0</v>
      </c>
      <c r="AX23" t="b">
        <v>0</v>
      </c>
    </row>
    <row r="24" spans="1:51">
      <c r="A24" t="s">
        <v>253</v>
      </c>
      <c r="B24" t="s">
        <v>123</v>
      </c>
      <c r="C24" t="s">
        <v>254</v>
      </c>
      <c r="D24" t="s">
        <v>255</v>
      </c>
      <c r="E24" t="s">
        <v>113</v>
      </c>
      <c r="F24" t="s">
        <v>114</v>
      </c>
      <c r="H24" t="s">
        <v>115</v>
      </c>
      <c r="J24" s="3">
        <v>0.003579937558328639</v>
      </c>
      <c r="K24" s="3">
        <v>0.02463925605274703</v>
      </c>
      <c r="L24" s="3">
        <v>2.956120581848094E-05</v>
      </c>
      <c r="M24" s="3">
        <v>0</v>
      </c>
      <c r="N24" s="3">
        <v>0.0003636565064997168</v>
      </c>
      <c r="O24" s="3">
        <v>0.004591155015327072</v>
      </c>
      <c r="P24" s="3">
        <v>0.1530482523178248</v>
      </c>
      <c r="Q24" s="3">
        <v>0.3702262102000943</v>
      </c>
      <c r="R24" s="3">
        <v>0.641249491936049</v>
      </c>
      <c r="S24" s="3">
        <v>0.369527185712914</v>
      </c>
      <c r="T24" s="3">
        <v>0.06026596690041662</v>
      </c>
      <c r="U24" s="3">
        <v>0.241870136432491</v>
      </c>
      <c r="V24" s="3">
        <v>0.4880133050789019</v>
      </c>
      <c r="W24" s="3">
        <v>0.7120391950448729</v>
      </c>
      <c r="X24" s="3">
        <v>0.4530970899244638</v>
      </c>
      <c r="Y24" s="4">
        <v>38.31830053357407</v>
      </c>
      <c r="Z24" s="4">
        <v>37.99387800245313</v>
      </c>
      <c r="AA24" s="4">
        <v>40.58728890195198</v>
      </c>
      <c r="AB24" s="4">
        <v>41.89420311253343</v>
      </c>
      <c r="AC24" s="4">
        <v>1.350905506114941</v>
      </c>
      <c r="AD24" s="4">
        <v>0.03007588318056845</v>
      </c>
      <c r="AE24" s="4">
        <v>0.005785330737058208</v>
      </c>
      <c r="AF24" s="4">
        <v>37.49497810702479</v>
      </c>
      <c r="AG24" s="4">
        <v>38.58850456295205</v>
      </c>
      <c r="AH24" s="4">
        <v>26.09719079591776</v>
      </c>
      <c r="AI24">
        <v>941561856</v>
      </c>
      <c r="AJ24">
        <v>1000341504</v>
      </c>
      <c r="AK24">
        <v>50411748</v>
      </c>
      <c r="AL24">
        <v>3</v>
      </c>
      <c r="AM24">
        <v>600</v>
      </c>
      <c r="AN24" t="s">
        <v>256</v>
      </c>
      <c r="AO24" t="s">
        <v>257</v>
      </c>
      <c r="AP24" t="s">
        <v>258</v>
      </c>
      <c r="AQ24">
        <v>437</v>
      </c>
      <c r="AR24">
        <v>87143</v>
      </c>
      <c r="AS24" t="s">
        <v>259</v>
      </c>
      <c r="AT24" t="s">
        <v>120</v>
      </c>
      <c r="AU24" t="s">
        <v>258</v>
      </c>
      <c r="AV24" t="b">
        <v>0</v>
      </c>
      <c r="AW24">
        <v>0</v>
      </c>
      <c r="AX24" t="b">
        <v>0</v>
      </c>
      <c r="AY24" s="5" t="s">
        <v>260</v>
      </c>
    </row>
    <row r="25" spans="1:51">
      <c r="A25" t="s">
        <v>261</v>
      </c>
      <c r="B25" t="s">
        <v>123</v>
      </c>
      <c r="C25" t="s">
        <v>262</v>
      </c>
      <c r="D25" t="s">
        <v>242</v>
      </c>
      <c r="E25" t="s">
        <v>113</v>
      </c>
      <c r="F25" t="s">
        <v>114</v>
      </c>
      <c r="H25" t="s">
        <v>115</v>
      </c>
      <c r="J25" s="3">
        <v>0.7358042388753677</v>
      </c>
      <c r="K25" s="3">
        <v>0.9261660294816295</v>
      </c>
      <c r="L25" s="3">
        <v>0.7885085076235926</v>
      </c>
      <c r="M25" s="3">
        <v>0.3132475569035633</v>
      </c>
      <c r="N25" s="3">
        <v>0.6230129470482932</v>
      </c>
      <c r="O25" s="3">
        <v>0.8453054423820519</v>
      </c>
      <c r="P25" s="3">
        <v>0.8785573428423017</v>
      </c>
      <c r="Q25" s="3">
        <v>0.5980977119052601</v>
      </c>
      <c r="R25" s="3">
        <v>0.8354753117255568</v>
      </c>
      <c r="S25" s="3">
        <v>0.6445083437996416</v>
      </c>
      <c r="T25" s="3">
        <v>0.05716989240479664</v>
      </c>
      <c r="U25" s="3">
        <v>0.4763276766556206</v>
      </c>
      <c r="V25" s="3">
        <v>0.7075303640855063</v>
      </c>
      <c r="W25" s="3">
        <v>0.7281036911128285</v>
      </c>
      <c r="X25" s="3">
        <v>0.7101511148106762</v>
      </c>
      <c r="Y25" s="4">
        <v>43.52631385150744</v>
      </c>
      <c r="Z25" s="4">
        <v>43.33256249810802</v>
      </c>
      <c r="AA25" s="4">
        <v>45.66807684714149</v>
      </c>
      <c r="AB25" s="4">
        <v>46.64238819001184</v>
      </c>
      <c r="AC25" s="4">
        <v>1.72319224839157</v>
      </c>
      <c r="AD25" s="4">
        <v>0.02818790161281556</v>
      </c>
      <c r="AE25" s="4">
        <v>0.01058008836275545</v>
      </c>
      <c r="AF25" s="4">
        <v>42.15639998589338</v>
      </c>
      <c r="AG25" s="4">
        <v>44.43234334849048</v>
      </c>
      <c r="AH25" s="4">
        <v>22.97460803622283</v>
      </c>
      <c r="AI25">
        <v>941561856</v>
      </c>
      <c r="AJ25">
        <v>1000341504</v>
      </c>
      <c r="AK25">
        <v>117264652</v>
      </c>
      <c r="AL25">
        <v>3</v>
      </c>
      <c r="AM25">
        <v>600</v>
      </c>
      <c r="AN25" t="s">
        <v>263</v>
      </c>
      <c r="AO25" t="s">
        <v>264</v>
      </c>
      <c r="AP25" t="s">
        <v>265</v>
      </c>
      <c r="AQ25">
        <v>437</v>
      </c>
      <c r="AR25">
        <v>86451</v>
      </c>
      <c r="AS25" t="s">
        <v>266</v>
      </c>
      <c r="AT25" t="s">
        <v>120</v>
      </c>
      <c r="AU25" t="s">
        <v>265</v>
      </c>
      <c r="AV25" t="b">
        <v>0</v>
      </c>
      <c r="AW25">
        <v>0</v>
      </c>
      <c r="AX25" t="b">
        <v>0</v>
      </c>
      <c r="AY25" s="5" t="s">
        <v>267</v>
      </c>
    </row>
    <row r="26" spans="1:51">
      <c r="A26" t="s">
        <v>268</v>
      </c>
      <c r="B26" t="s">
        <v>123</v>
      </c>
      <c r="C26" t="s">
        <v>269</v>
      </c>
      <c r="D26" t="s">
        <v>242</v>
      </c>
      <c r="E26" t="s">
        <v>113</v>
      </c>
      <c r="F26" t="s">
        <v>114</v>
      </c>
      <c r="H26" t="s">
        <v>115</v>
      </c>
      <c r="J26" s="3">
        <v>0.004075750906385281</v>
      </c>
      <c r="K26" s="3">
        <v>0.02632105834859388</v>
      </c>
      <c r="L26" s="3">
        <v>3.280462900814253E-05</v>
      </c>
      <c r="M26" s="3">
        <v>0</v>
      </c>
      <c r="N26" s="3">
        <v>0.001047208639101185</v>
      </c>
      <c r="O26" s="3">
        <v>0.004784310267092295</v>
      </c>
      <c r="P26" s="3">
        <v>0.1573423583917101</v>
      </c>
      <c r="Q26" s="3">
        <v>0.3540556583177658</v>
      </c>
      <c r="R26" s="3">
        <v>0.6221397382336707</v>
      </c>
      <c r="S26" s="3">
        <v>0.3449490319018853</v>
      </c>
      <c r="T26" s="3">
        <v>0.06344119453546188</v>
      </c>
      <c r="U26" s="3">
        <v>0.2412815429576418</v>
      </c>
      <c r="V26" s="3">
        <v>0.4786087998382951</v>
      </c>
      <c r="W26" s="3">
        <v>0.7179537218964126</v>
      </c>
      <c r="X26" s="3">
        <v>0.4565858431052821</v>
      </c>
      <c r="Y26" s="4">
        <v>39.64712893670367</v>
      </c>
      <c r="Z26" s="4">
        <v>39.40890300145838</v>
      </c>
      <c r="AA26" s="4">
        <v>41.52923119909246</v>
      </c>
      <c r="AB26" s="4">
        <v>43.24338190665002</v>
      </c>
      <c r="AC26" s="4">
        <v>1.077229000657098</v>
      </c>
      <c r="AD26" s="4">
        <v>0.02481942273896639</v>
      </c>
      <c r="AE26" s="4">
        <v>0.00231009321868161</v>
      </c>
      <c r="AF26" s="4">
        <v>39.19226420887004</v>
      </c>
      <c r="AG26" s="4">
        <v>39.64471379199032</v>
      </c>
      <c r="AH26" s="4">
        <v>25.22250732446458</v>
      </c>
      <c r="AI26">
        <v>941561856</v>
      </c>
      <c r="AJ26">
        <v>1000341504</v>
      </c>
      <c r="AK26">
        <v>67912876</v>
      </c>
      <c r="AL26">
        <v>3</v>
      </c>
      <c r="AM26">
        <v>600</v>
      </c>
      <c r="AN26" t="s">
        <v>270</v>
      </c>
      <c r="AO26" t="s">
        <v>271</v>
      </c>
      <c r="AP26" t="s">
        <v>272</v>
      </c>
      <c r="AQ26">
        <v>437</v>
      </c>
      <c r="AR26">
        <v>87153</v>
      </c>
      <c r="AS26" t="s">
        <v>273</v>
      </c>
      <c r="AT26" t="s">
        <v>120</v>
      </c>
      <c r="AU26" t="s">
        <v>272</v>
      </c>
      <c r="AV26" t="b">
        <v>0</v>
      </c>
      <c r="AW26">
        <v>0</v>
      </c>
      <c r="AX26" t="b">
        <v>0</v>
      </c>
      <c r="AY26" s="5" t="s">
        <v>274</v>
      </c>
    </row>
    <row r="27" spans="1:51">
      <c r="A27" t="s">
        <v>275</v>
      </c>
      <c r="B27" t="s">
        <v>123</v>
      </c>
      <c r="C27" t="s">
        <v>262</v>
      </c>
      <c r="D27" t="s">
        <v>242</v>
      </c>
      <c r="E27" t="s">
        <v>113</v>
      </c>
      <c r="F27" t="s">
        <v>114</v>
      </c>
      <c r="H27" t="s">
        <v>115</v>
      </c>
      <c r="J27" s="3">
        <v>0.02816209624061215</v>
      </c>
      <c r="K27" s="3">
        <v>0.1390114046685989</v>
      </c>
      <c r="L27" s="3">
        <v>0.001284555592169983</v>
      </c>
      <c r="M27" s="3">
        <v>0.01115779790037216</v>
      </c>
      <c r="N27" s="3">
        <v>0.004452638592516479</v>
      </c>
      <c r="O27" s="3">
        <v>0.03529572100303952</v>
      </c>
      <c r="P27" s="3">
        <v>0.3569541935012003</v>
      </c>
      <c r="Q27" s="3">
        <v>0.3579247452931818</v>
      </c>
      <c r="R27" s="3">
        <v>0.6020312130357469</v>
      </c>
      <c r="S27" s="3">
        <v>0.3598637251167136</v>
      </c>
      <c r="T27" s="3">
        <v>0.05666074016226249</v>
      </c>
      <c r="U27" s="3">
        <v>0.204668338892379</v>
      </c>
      <c r="V27" s="3">
        <v>0.481713062758056</v>
      </c>
      <c r="W27" s="3">
        <v>0.7239729530299054</v>
      </c>
      <c r="X27" s="3">
        <v>0.4289259857653336</v>
      </c>
      <c r="Y27" s="4">
        <v>38.5976904031971</v>
      </c>
      <c r="Z27" s="4">
        <v>38.29855150252115</v>
      </c>
      <c r="AA27" s="4">
        <v>40.82614890357945</v>
      </c>
      <c r="AB27" s="4">
        <v>41.82187388847524</v>
      </c>
      <c r="AC27" s="4">
        <v>1.274872254725778</v>
      </c>
      <c r="AD27" s="4">
        <v>0.03135598011770795</v>
      </c>
      <c r="AE27" s="4">
        <v>0.008880378632809048</v>
      </c>
      <c r="AF27" s="4">
        <v>37.53411956583137</v>
      </c>
      <c r="AG27" s="4">
        <v>39.22762676941942</v>
      </c>
      <c r="AH27" s="4">
        <v>25.90828595063213</v>
      </c>
      <c r="AI27">
        <v>941561856</v>
      </c>
      <c r="AJ27">
        <v>1000341504</v>
      </c>
      <c r="AK27">
        <v>55561316</v>
      </c>
      <c r="AL27">
        <v>3</v>
      </c>
      <c r="AM27">
        <v>600</v>
      </c>
      <c r="AN27" t="s">
        <v>276</v>
      </c>
      <c r="AO27" t="s">
        <v>277</v>
      </c>
      <c r="AP27" t="s">
        <v>278</v>
      </c>
      <c r="AQ27">
        <v>437</v>
      </c>
      <c r="AR27">
        <v>87112</v>
      </c>
      <c r="AS27" t="s">
        <v>279</v>
      </c>
      <c r="AT27" t="s">
        <v>120</v>
      </c>
      <c r="AU27" t="s">
        <v>278</v>
      </c>
      <c r="AV27" t="b">
        <v>0</v>
      </c>
      <c r="AW27">
        <v>0</v>
      </c>
      <c r="AX27" t="b">
        <v>0</v>
      </c>
      <c r="AY27" s="5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3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40.7109375" customWidth="1"/>
    <col min="4" max="5" width="15.7109375" customWidth="1"/>
    <col min="6" max="8" width="14.7109375" style="3" customWidth="1"/>
    <col min="9" max="11" width="14.7109375" style="6" customWidth="1"/>
    <col min="12" max="15" width="14.7109375" style="4" customWidth="1"/>
    <col min="16" max="16" width="14.7109375" style="7" customWidth="1"/>
    <col min="17" max="20" width="16.7109375" style="4" customWidth="1"/>
    <col min="21" max="21" width="15.7109375" style="7" customWidth="1"/>
    <col min="22" max="22" width="12.7109375" style="4" customWidth="1"/>
    <col min="23" max="24" width="15.7109375" style="7" customWidth="1"/>
    <col min="25" max="29" width="13.7109375" customWidth="1"/>
    <col min="30" max="30" width="18.7109375" customWidth="1"/>
    <col min="31" max="31" width="42.7109375" style="5" customWidth="1"/>
    <col min="32" max="33" width="15.7109375" customWidth="1"/>
    <col min="34" max="35" width="18.7109375" customWidth="1"/>
  </cols>
  <sheetData>
    <row r="1" spans="1:35" s="1" customFormat="1" ht="42" customHeight="1">
      <c r="A1" s="1" t="s">
        <v>60</v>
      </c>
      <c r="B1" s="1" t="s">
        <v>281</v>
      </c>
      <c r="C1" s="1" t="s">
        <v>282</v>
      </c>
      <c r="D1" s="1" t="s">
        <v>63</v>
      </c>
      <c r="E1" s="1" t="s">
        <v>67</v>
      </c>
      <c r="F1" s="1" t="s">
        <v>69</v>
      </c>
      <c r="G1" s="1" t="s">
        <v>36</v>
      </c>
      <c r="H1" s="1" t="s">
        <v>52</v>
      </c>
      <c r="I1" s="1" t="s">
        <v>283</v>
      </c>
      <c r="J1" s="1" t="s">
        <v>284</v>
      </c>
      <c r="K1" s="1" t="s">
        <v>285</v>
      </c>
      <c r="L1" s="1" t="s">
        <v>83</v>
      </c>
      <c r="M1" s="1" t="s">
        <v>84</v>
      </c>
      <c r="N1" s="1" t="s">
        <v>85</v>
      </c>
      <c r="O1" s="1" t="s">
        <v>91</v>
      </c>
      <c r="P1" s="1" t="s">
        <v>88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  <c r="AB1" s="1" t="s">
        <v>297</v>
      </c>
      <c r="AC1" s="1" t="s">
        <v>298</v>
      </c>
      <c r="AD1" s="1" t="s">
        <v>299</v>
      </c>
      <c r="AE1" s="1" t="s">
        <v>300</v>
      </c>
      <c r="AF1" s="1" t="s">
        <v>301</v>
      </c>
      <c r="AG1" s="1" t="s">
        <v>302</v>
      </c>
      <c r="AH1" s="1" t="s">
        <v>105</v>
      </c>
      <c r="AI1" s="1" t="s">
        <v>107</v>
      </c>
    </row>
    <row r="2" spans="1:35">
      <c r="A2" t="str">
        <f>'원시결과'!A2</f>
        <v>B01</v>
      </c>
      <c r="B2" t="str">
        <f>'원시결과'!B2</f>
        <v>baseline</v>
      </c>
      <c r="C2" t="str">
        <f>'원시결과'!C2</f>
        <v>none</v>
      </c>
      <c r="D2" t="str">
        <f>'원시결과'!D2</f>
        <v>fp32</v>
      </c>
      <c r="E2" t="str">
        <f>'원시결과'!H2</f>
        <v>완료</v>
      </c>
      <c r="F2" s="3">
        <f>IF('원시결과'!J2="","",'원시결과'!J2)</f>
        <v>0.7378589271657685</v>
      </c>
      <c r="G2" s="3">
        <f>IF('원시결과'!Q2="","",'원시결과'!Q2)</f>
        <v>0.6026426958851505</v>
      </c>
      <c r="H2" s="3">
        <f>IF('원시결과'!X2="","",'원시결과'!X2)</f>
        <v>0.7120070817052193</v>
      </c>
      <c r="I2" s="6">
        <f>IF(F2="","",F2-INDEX(F$2:F$23,MATCH("B01",$A$2:$A$23,0)))</f>
        <v>0.0</v>
      </c>
      <c r="J2" s="6">
        <f>IF(G2="","",G2-INDEX(G$2:G$23,MATCH("B01",$A$2:$A$23,0)))</f>
        <v>0.0</v>
      </c>
      <c r="K2" s="6">
        <f>IF(H2="","",H2-INDEX(H$2:H$23,MATCH("B01",$A$2:$A$23,0)))</f>
        <v>0.0</v>
      </c>
      <c r="L2" s="4">
        <f>IF('원시결과'!Z2="","",'원시결과'!Z2)</f>
        <v>45.82025699710357</v>
      </c>
      <c r="M2" s="4">
        <f>IF('원시결과'!AA2="","",'원시결과'!AA2)</f>
        <v>48.56151670392137</v>
      </c>
      <c r="N2" s="4">
        <f>IF('원시결과'!AB2="","",'원시결과'!AB2)</f>
        <v>49.34060668594611</v>
      </c>
      <c r="O2" s="4">
        <f>IF('원시결과'!AH2="","",'원시결과'!AH2)</f>
        <v>21.728663471610425</v>
      </c>
      <c r="P2" s="7">
        <f>IF('원시결과'!AE2="","",'원시결과'!AE2)</f>
        <v>0.0012307590258718059</v>
      </c>
      <c r="Q2" s="4">
        <f>IF('원시결과'!AF2="","",'원시결과'!AF2)</f>
        <v>45.66059531378848</v>
      </c>
      <c r="R2" s="4">
        <f>IF('원시결과'!AG2="","",'원시결과'!AG2)</f>
        <v>45.94067735038021</v>
      </c>
      <c r="S2" s="8">
        <f>IF('원시결과'!AI2="","",'원시결과'!AI2/1048576)</f>
        <v>897.943359375</v>
      </c>
      <c r="T2" s="8">
        <f>IF('원시결과'!AK2="","",'원시결과'!AK2/1048576)</f>
        <v>129.33994674682617</v>
      </c>
      <c r="U2" s="7">
        <f>IF(L2="","",(INDEX(L$2:L$23,MATCH("B01",$A$2:$A$23,0))-L2)/INDEX(L$2:L$23,MATCH("B01",$A$2:$A$23,0)))</f>
        <v>0.0</v>
      </c>
      <c r="V2" s="4">
        <f>IF(L2="","",INDEX(L$2:L$23,MATCH("B01",$A$2:$A$23,0))/L2)</f>
        <v>1.0</v>
      </c>
      <c r="W2" s="7">
        <f>IF(S2="","",(INDEX(S$2:S$23,MATCH("B01",$A$2:$A$23,0))-S2)/INDEX(S$2:S$23,MATCH("B01",$A$2:$A$23,0)))</f>
        <v>0.0</v>
      </c>
      <c r="X2" s="7">
        <f>IF(T2="","",(INDEX(T$2:T$23,MATCH("B01",$A$2:$A$23,0))-T2)/INDEX(T$2:T$23,MATCH("B01",$A$2:$A$23,0)))</f>
        <v>0.0</v>
      </c>
      <c r="Y2" t="b">
        <v>1</v>
      </c>
      <c r="Z2" t="b">
        <f>AND(I2&gt;=-'평가기준'!$B$10,J2&gt;=-'평가기준'!$B$11,K2&gt;=-'평가기준'!$B$12)</f>
        <v>1</v>
      </c>
      <c r="AA2" t="b">
        <f>AND(Y2,Z2)</f>
        <v>1</v>
      </c>
      <c r="AB2" t="b">
        <v>0</v>
      </c>
      <c r="AC2" t="b">
        <f>P2&gt;'평가기준'!$B$9</f>
        <v>0</v>
      </c>
      <c r="AD2" t="b">
        <f>AND(Y2,M2&gt;'평가기준'!$B$14)</f>
        <v>1</v>
      </c>
      <c r="AE2" s="5"/>
      <c r="AF2" t="b">
        <f>AND(Y2,L2&lt;='평가기준'!$B$14)</f>
        <v>0</v>
      </c>
      <c r="AG2" t="b">
        <f>AND(AB2,AF2,NOT(AI2))</f>
        <v>0</v>
      </c>
      <c r="AH2" t="b">
        <v>0</v>
      </c>
      <c r="AI2" t="b">
        <v>0</v>
      </c>
    </row>
    <row r="3" spans="1:35">
      <c r="A3" t="str">
        <f>'원시결과'!A3</f>
        <v>B02</v>
      </c>
      <c r="B3" t="str">
        <f>'원시결과'!B3</f>
        <v>precision</v>
      </c>
      <c r="C3" t="str">
        <f>'원시결과'!C3</f>
        <v>tensorrt-fp16</v>
      </c>
      <c r="D3" t="str">
        <f>'원시결과'!D3</f>
        <v>fp16</v>
      </c>
      <c r="E3" t="str">
        <f>'원시결과'!H3</f>
        <v>완료</v>
      </c>
      <c r="F3" s="3">
        <f>IF('원시결과'!J3="","",'원시결과'!J3)</f>
        <v>0.7415530084406021</v>
      </c>
      <c r="G3" s="3">
        <f>IF('원시결과'!Q3="","",'원시결과'!Q3)</f>
        <v>0.6017216878776938</v>
      </c>
      <c r="H3" s="3">
        <f>IF('원시결과'!X3="","",'원시결과'!X3)</f>
        <v>0.7138475799724896</v>
      </c>
      <c r="I3" s="6">
        <f>IF(F3="","",F3-INDEX(F$2:F$23,MATCH("B01",$A$2:$A$23,0)))</f>
        <v>0.003694081274833616</v>
      </c>
      <c r="J3" s="6">
        <f>IF(G3="","",G3-INDEX(G$2:G$23,MATCH("B01",$A$2:$A$23,0)))</f>
        <v>-0.0009210080074567584</v>
      </c>
      <c r="K3" s="6">
        <f>IF(H3="","",H3-INDEX(H$2:H$23,MATCH("B01",$A$2:$A$23,0)))</f>
        <v>0.0018404982672702852</v>
      </c>
      <c r="L3" s="4">
        <f>IF('원시결과'!Z3="","",'원시결과'!Z3)</f>
        <v>25.775210498977685</v>
      </c>
      <c r="M3" s="4">
        <f>IF('원시결과'!AA3="","",'원시결과'!AA3)</f>
        <v>28.130155548933544</v>
      </c>
      <c r="N3" s="4">
        <f>IF('원시결과'!AB3="","",'원시결과'!AB3)</f>
        <v>29.321301157033297</v>
      </c>
      <c r="O3" s="4">
        <f>IF('원시결과'!AH3="","",'원시결과'!AH3)</f>
        <v>38.40285218774443</v>
      </c>
      <c r="P3" s="7">
        <f>IF('원시결과'!AE3="","",'원시결과'!AE3)</f>
        <v>0.028758074415614024</v>
      </c>
      <c r="Q3" s="4">
        <f>IF('원시결과'!AF3="","",'원시결과'!AF3)</f>
        <v>24.073146696360688</v>
      </c>
      <c r="R3" s="4">
        <f>IF('원시결과'!AG3="","",'원시결과'!AG3)</f>
        <v>27.777612972865754</v>
      </c>
      <c r="S3" s="8">
        <f>IF('원시결과'!AI3="","",'원시결과'!AI3/1048576)</f>
        <v>897.943359375</v>
      </c>
      <c r="T3" s="8">
        <f>IF('원시결과'!AK3="","",'원시결과'!AK3/1048576)</f>
        <v>67.94259262084961</v>
      </c>
      <c r="U3" s="7">
        <f>IF(L3="","",(INDEX(L$2:L$23,MATCH("B01",$A$2:$A$23,0))-L3)/INDEX(L$2:L$23,MATCH("B01",$A$2:$A$23,0)))</f>
        <v>0.43747128042937405</v>
      </c>
      <c r="V3" s="4">
        <f>IF(L3="","",INDEX(L$2:L$23,MATCH("B01",$A$2:$A$23,0))/L3)</f>
        <v>1.7776870143862036</v>
      </c>
      <c r="W3" s="7">
        <f>IF(S3="","",(INDEX(S$2:S$23,MATCH("B01",$A$2:$A$23,0))-S3)/INDEX(S$2:S$23,MATCH("B01",$A$2:$A$23,0)))</f>
        <v>0.0</v>
      </c>
      <c r="X3" s="7">
        <f>IF(T3="","",(INDEX(T$2:T$23,MATCH("B01",$A$2:$A$23,0))-T3)/INDEX(T$2:T$23,MATCH("B01",$A$2:$A$23,0)))</f>
        <v>0.47469753676455084</v>
      </c>
      <c r="Y3" t="b">
        <v>1</v>
      </c>
      <c r="Z3" t="b">
        <f>AND(I3&gt;=-'평가기준'!$B$10,J3&gt;=-'평가기준'!$B$11,K3&gt;=-'평가기준'!$B$12)</f>
        <v>1</v>
      </c>
      <c r="AA3" t="b">
        <f>AND(Y3,Z3)</f>
        <v>1</v>
      </c>
      <c r="AB3" t="b">
        <v>0</v>
      </c>
      <c r="AC3" t="b">
        <f>P3&gt;'평가기준'!$B$9</f>
        <v>0</v>
      </c>
      <c r="AD3" t="b">
        <f>AND(Y3,M3&gt;'평가기준'!$B$14)</f>
        <v>0</v>
      </c>
      <c r="AE3" s="5"/>
      <c r="AF3" t="b">
        <f>AND(Y3,L3&lt;='평가기준'!$B$14)</f>
        <v>1</v>
      </c>
      <c r="AG3" t="b">
        <f>AND(AB3,AF3,NOT(AI3))</f>
        <v>0</v>
      </c>
      <c r="AH3" t="b">
        <v>0</v>
      </c>
      <c r="AI3" t="b">
        <v>0</v>
      </c>
    </row>
    <row r="4" spans="1:35">
      <c r="A4" t="str">
        <f>'원시결과'!A4</f>
        <v>B03</v>
      </c>
      <c r="B4" t="str">
        <f>'원시결과'!B4</f>
        <v>precision</v>
      </c>
      <c r="C4" t="str">
        <f>'원시결과'!C4</f>
        <v>tensorrt-int8-ptq</v>
      </c>
      <c r="D4" t="str">
        <f>'원시결과'!D4</f>
        <v>int8</v>
      </c>
      <c r="E4" t="str">
        <f>'원시결과'!H4</f>
        <v>완료</v>
      </c>
      <c r="F4" s="3">
        <f>IF('원시결과'!J4="","",'원시결과'!J4)</f>
        <v>0.7421901253864573</v>
      </c>
      <c r="G4" s="3">
        <f>IF('원시결과'!Q4="","",'원시결과'!Q4)</f>
        <v>0.602749828431408</v>
      </c>
      <c r="H4" s="3">
        <f>IF('원시결과'!X4="","",'원시결과'!X4)</f>
        <v>0.712443682711115</v>
      </c>
      <c r="I4" s="6">
        <f>IF(F4="","",F4-INDEX(F$2:F$23,MATCH("B01",$A$2:$A$23,0)))</f>
        <v>0.004331198220688837</v>
      </c>
      <c r="J4" s="6">
        <f>IF(G4="","",G4-INDEX(G$2:G$23,MATCH("B01",$A$2:$A$23,0)))</f>
        <v>0.00010713254625749347</v>
      </c>
      <c r="K4" s="6">
        <f>IF(H4="","",H4-INDEX(H$2:H$23,MATCH("B01",$A$2:$A$23,0)))</f>
        <v>0.00043660100589570927</v>
      </c>
      <c r="L4" s="4">
        <f>IF('원시결과'!Z4="","",'원시결과'!Z4)</f>
        <v>25.360001498484053</v>
      </c>
      <c r="M4" s="4">
        <f>IF('원시결과'!AA4="","",'원시결과'!AA4)</f>
        <v>27.903415251421393</v>
      </c>
      <c r="N4" s="4">
        <f>IF('원시결과'!AB4="","",'원시결과'!AB4)</f>
        <v>29.424016557095452</v>
      </c>
      <c r="O4" s="4">
        <f>IF('원시결과'!AH4="","",'원시결과'!AH4)</f>
        <v>38.91667153479839</v>
      </c>
      <c r="P4" s="7">
        <f>IF('원시결과'!AE4="","",'원시결과'!AE4)</f>
        <v>0.02264303164311767</v>
      </c>
      <c r="Q4" s="4">
        <f>IF('원시결과'!AF4="","",'원시결과'!AF4)</f>
        <v>24.038587584345166</v>
      </c>
      <c r="R4" s="4">
        <f>IF('원시결과'!AG4="","",'원시결과'!AG4)</f>
        <v>26.904273747611448</v>
      </c>
      <c r="S4" s="8">
        <f>IF('원시결과'!AI4="","",'원시결과'!AI4/1048576)</f>
        <v>897.943359375</v>
      </c>
      <c r="T4" s="8">
        <f>IF('원시결과'!AK4="","",'원시결과'!AK4/1048576)</f>
        <v>68.00632095336914</v>
      </c>
      <c r="U4" s="7">
        <f>IF(L4="","",(INDEX(L$2:L$23,MATCH("B01",$A$2:$A$23,0))-L4)/INDEX(L$2:L$23,MATCH("B01",$A$2:$A$23,0)))</f>
        <v>0.44653297121211843</v>
      </c>
      <c r="V4" s="4">
        <f>IF(L4="","",INDEX(L$2:L$23,MATCH("B01",$A$2:$A$23,0))/L4)</f>
        <v>1.8067923615794175</v>
      </c>
      <c r="W4" s="7">
        <f>IF(S4="","",(INDEX(S$2:S$23,MATCH("B01",$A$2:$A$23,0))-S4)/INDEX(S$2:S$23,MATCH("B01",$A$2:$A$23,0)))</f>
        <v>0.0</v>
      </c>
      <c r="X4" s="7">
        <f>IF(T4="","",(INDEX(T$2:T$23,MATCH("B01",$A$2:$A$23,0))-T4)/INDEX(T$2:T$23,MATCH("B01",$A$2:$A$23,0)))</f>
        <v>0.4742048171205241</v>
      </c>
      <c r="Y4" t="b">
        <v>1</v>
      </c>
      <c r="Z4" t="b">
        <f>AND(I4&gt;=-'평가기준'!$B$10,J4&gt;=-'평가기준'!$B$11,K4&gt;=-'평가기준'!$B$12)</f>
        <v>1</v>
      </c>
      <c r="AA4" t="b">
        <f>AND(Y4,Z4)</f>
        <v>1</v>
      </c>
      <c r="AB4" t="b">
        <v>0</v>
      </c>
      <c r="AC4" t="b">
        <f>P4&gt;'평가기준'!$B$9</f>
        <v>0</v>
      </c>
      <c r="AD4" t="b">
        <f>AND(Y4,M4&gt;'평가기준'!$B$14)</f>
        <v>0</v>
      </c>
      <c r="AE4" s="5"/>
      <c r="AF4" t="b">
        <f>AND(Y4,L4&lt;='평가기준'!$B$14)</f>
        <v>1</v>
      </c>
      <c r="AG4" t="b">
        <f>AND(AB4,AF4,NOT(AI4))</f>
        <v>0</v>
      </c>
      <c r="AH4" t="b">
        <v>0</v>
      </c>
      <c r="AI4" t="b">
        <v>0</v>
      </c>
    </row>
    <row r="5" spans="1:35">
      <c r="A5" t="str">
        <f>'원시결과'!A8</f>
        <v>M01</v>
      </c>
      <c r="B5" t="str">
        <f>'원시결과'!B8</f>
        <v>semi-structured</v>
      </c>
      <c r="C5" t="str">
        <f>'원시결과'!C8</f>
        <v>nvidia-2to4</v>
      </c>
      <c r="D5" t="str">
        <f>'원시결과'!D8</f>
        <v>fp16</v>
      </c>
      <c r="E5" t="str">
        <f>'원시결과'!H8</f>
        <v>완료</v>
      </c>
      <c r="F5" s="3">
        <f>IF('원시결과'!J8="","",'원시결과'!J8)</f>
        <v>0.6345828690273081</v>
      </c>
      <c r="G5" s="3">
        <f>IF('원시결과'!Q8="","",'원시결과'!Q8)</f>
        <v>0.517988143310128</v>
      </c>
      <c r="H5" s="3">
        <f>IF('원시결과'!X8="","",'원시결과'!X8)</f>
        <v>0.6826235848602537</v>
      </c>
      <c r="I5" s="6">
        <f>IF(F5="","",F5-INDEX(F$2:F$23,MATCH("B01",$A$2:$A$23,0)))</f>
        <v>-0.10327605813846041</v>
      </c>
      <c r="J5" s="6">
        <f>IF(G5="","",G5-INDEX(G$2:G$23,MATCH("B01",$A$2:$A$23,0)))</f>
        <v>-0.08465455257502252</v>
      </c>
      <c r="K5" s="6">
        <f>IF(H5="","",H5-INDEX(H$2:H$23,MATCH("B01",$A$2:$A$23,0)))</f>
        <v>-0.029383496844965662</v>
      </c>
      <c r="L5" s="4">
        <f>IF('원시결과'!Z8="","",'원시결과'!Z8)</f>
        <v>25.386515499121742</v>
      </c>
      <c r="M5" s="4">
        <f>IF('원시결과'!AA8="","",'원시결과'!AA8)</f>
        <v>27.630041898737545</v>
      </c>
      <c r="N5" s="4">
        <f>IF('원시결과'!AB8="","",'원시결과'!AB8)</f>
        <v>28.270790903407033</v>
      </c>
      <c r="O5" s="4">
        <f>IF('원시결과'!AH8="","",'원시결과'!AH8)</f>
        <v>39.00358292706424</v>
      </c>
      <c r="P5" s="7">
        <f>IF('원시결과'!AE8="","",'원시결과'!AE8)</f>
        <v>0.009584037272303062</v>
      </c>
      <c r="Q5" s="4">
        <f>IF('원시결과'!AF8="","",'원시결과'!AF8)</f>
        <v>24.793421115222046</v>
      </c>
      <c r="R5" s="4">
        <f>IF('원시결과'!AG8="","",'원시결과'!AG8)</f>
        <v>26.00288054915505</v>
      </c>
      <c r="S5" s="8">
        <f>IF('원시결과'!AI8="","",'원시결과'!AI8/1048576)</f>
        <v>897.943359375</v>
      </c>
      <c r="T5" s="8">
        <f>IF('원시결과'!AK8="","",'원시결과'!AK8/1048576)</f>
        <v>67.89997482299805</v>
      </c>
      <c r="U5" s="7">
        <f>IF(L5="","",(INDEX(L$2:L$23,MATCH("B01",$A$2:$A$23,0))-L5)/INDEX(L$2:L$23,MATCH("B01",$A$2:$A$23,0)))</f>
        <v>0.445954318834866</v>
      </c>
      <c r="V5" s="4">
        <f>IF(L5="","",INDEX(L$2:L$23,MATCH("B01",$A$2:$A$23,0))/L5)</f>
        <v>1.8049053245881161</v>
      </c>
      <c r="W5" s="7">
        <f>IF(S5="","",(INDEX(S$2:S$23,MATCH("B01",$A$2:$A$23,0))-S5)/INDEX(S$2:S$23,MATCH("B01",$A$2:$A$23,0)))</f>
        <v>0.0</v>
      </c>
      <c r="X5" s="7">
        <f>IF(T5="","",(INDEX(T$2:T$23,MATCH("B01",$A$2:$A$23,0))-T5)/INDEX(T$2:T$23,MATCH("B01",$A$2:$A$23,0)))</f>
        <v>0.4750270389711273</v>
      </c>
      <c r="Y5" t="b">
        <v>1</v>
      </c>
      <c r="Z5" t="b">
        <f>AND(I5&gt;=-'평가기준'!$B$10,J5&gt;=-'평가기준'!$B$11,K5&gt;=-'평가기준'!$B$12)</f>
        <v>0</v>
      </c>
      <c r="AA5" t="b">
        <f>AND(Y5,Z5)</f>
        <v>0</v>
      </c>
      <c r="AB5" t="b">
        <v>0</v>
      </c>
      <c r="AC5" t="b">
        <f>P5&gt;'평가기준'!$B$9</f>
        <v>0</v>
      </c>
      <c r="AD5" t="b">
        <f>AND(Y5,M5&gt;'평가기준'!$B$14)</f>
        <v>0</v>
      </c>
      <c r="AE5" s="5" t="s">
        <v>303</v>
      </c>
      <c r="AF5" t="b">
        <f>AND(Y5,L5&lt;='평가기준'!$B$14)</f>
        <v>1</v>
      </c>
      <c r="AG5" t="b">
        <f>AND(AB5,AF5,NOT(AI5))</f>
        <v>0</v>
      </c>
      <c r="AH5" t="b">
        <v>0</v>
      </c>
      <c r="AI5" t="b">
        <v>0</v>
      </c>
    </row>
    <row r="6" spans="1:35">
      <c r="A6" t="str">
        <f>'원시결과'!A9</f>
        <v>M02</v>
      </c>
      <c r="B6" t="str">
        <f>'원시결과'!B9</f>
        <v>semi-structured</v>
      </c>
      <c r="C6" t="str">
        <f>'원시결과'!C9</f>
        <v>nvidia-2to4</v>
      </c>
      <c r="D6" t="str">
        <f>'원시결과'!D9</f>
        <v>fp16</v>
      </c>
      <c r="E6" t="str">
        <f>'원시결과'!H9</f>
        <v>완료</v>
      </c>
      <c r="F6" s="3">
        <f>IF('원시결과'!J9="","",'원시결과'!J9)</f>
        <v>0.632380362274998</v>
      </c>
      <c r="G6" s="3">
        <f>IF('원시결과'!Q9="","",'원시결과'!Q9)</f>
        <v>0.5148480302335408</v>
      </c>
      <c r="H6" s="3">
        <f>IF('원시결과'!X9="","",'원시결과'!X9)</f>
        <v>0.6751028359197037</v>
      </c>
      <c r="I6" s="6">
        <f>IF(F6="","",F6-INDEX(F$2:F$23,MATCH("B01",$A$2:$A$23,0)))</f>
        <v>-0.10547856489077045</v>
      </c>
      <c r="J6" s="6">
        <f>IF(G6="","",G6-INDEX(G$2:G$23,MATCH("B01",$A$2:$A$23,0)))</f>
        <v>-0.08779466565160976</v>
      </c>
      <c r="K6" s="6">
        <f>IF(H6="","",H6-INDEX(H$2:H$23,MATCH("B01",$A$2:$A$23,0)))</f>
        <v>-0.036904245785515655</v>
      </c>
      <c r="L6" s="4">
        <f>IF('원시결과'!Z9="","",'원시결과'!Z9)</f>
        <v>25.26247049900121</v>
      </c>
      <c r="M6" s="4">
        <f>IF('원시결과'!AA9="","",'원시결과'!AA9)</f>
        <v>28.145969146498825</v>
      </c>
      <c r="N6" s="4">
        <f>IF('원시결과'!AB9="","",'원시결과'!AB9)</f>
        <v>29.207884659335832</v>
      </c>
      <c r="O6" s="4">
        <f>IF('원시결과'!AH9="","",'원시결과'!AH9)</f>
        <v>39.020721049962255</v>
      </c>
      <c r="P6" s="7">
        <f>IF('원시결과'!AE9="","",'원시결과'!AE9)</f>
        <v>0.005740374355430834</v>
      </c>
      <c r="Q6" s="4">
        <f>IF('원시결과'!AF9="","",'원시결과'!AF9)</f>
        <v>24.89929467224574</v>
      </c>
      <c r="R6" s="4">
        <f>IF('원시결과'!AG9="","",'원시결과'!AG9)</f>
        <v>25.619748327800576</v>
      </c>
      <c r="S6" s="8">
        <f>IF('원시결과'!AI9="","",'원시결과'!AI9/1048576)</f>
        <v>897.943359375</v>
      </c>
      <c r="T6" s="8">
        <f>IF('원시결과'!AK9="","",'원시결과'!AK9/1048576)</f>
        <v>62.39285659790039</v>
      </c>
      <c r="U6" s="7">
        <f>IF(L6="","",(INDEX(L$2:L$23,MATCH("B01",$A$2:$A$23,0))-L6)/INDEX(L$2:L$23,MATCH("B01",$A$2:$A$23,0)))</f>
        <v>0.4486615275728784</v>
      </c>
      <c r="V6" s="4">
        <f>IF(L6="","",INDEX(L$2:L$23,MATCH("B01",$A$2:$A$23,0))/L6)</f>
        <v>1.8137678576968608</v>
      </c>
      <c r="W6" s="7">
        <f>IF(S6="","",(INDEX(S$2:S$23,MATCH("B01",$A$2:$A$23,0))-S6)/INDEX(S$2:S$23,MATCH("B01",$A$2:$A$23,0)))</f>
        <v>0.0</v>
      </c>
      <c r="X6" s="7">
        <f>IF(T6="","",(INDEX(T$2:T$23,MATCH("B01",$A$2:$A$23,0))-T6)/INDEX(T$2:T$23,MATCH("B01",$A$2:$A$23,0)))</f>
        <v>0.5176056727467964</v>
      </c>
      <c r="Y6" t="b">
        <v>1</v>
      </c>
      <c r="Z6" t="b">
        <f>AND(I6&gt;=-'평가기준'!$B$10,J6&gt;=-'평가기준'!$B$11,K6&gt;=-'평가기준'!$B$12)</f>
        <v>0</v>
      </c>
      <c r="AA6" t="b">
        <f>AND(Y6,Z6)</f>
        <v>0</v>
      </c>
      <c r="AB6" t="b">
        <v>0</v>
      </c>
      <c r="AC6" t="b">
        <f>P6&gt;'평가기준'!$B$9</f>
        <v>0</v>
      </c>
      <c r="AD6" t="b">
        <f>AND(Y6,M6&gt;'평가기준'!$B$14)</f>
        <v>0</v>
      </c>
      <c r="AE6" s="5" t="s">
        <v>303</v>
      </c>
      <c r="AF6" t="b">
        <f>AND(Y6,L6&lt;='평가기준'!$B$14)</f>
        <v>1</v>
      </c>
      <c r="AG6" t="b">
        <f>AND(AB6,AF6,NOT(AI6))</f>
        <v>0</v>
      </c>
      <c r="AH6" t="b">
        <v>0</v>
      </c>
      <c r="AI6" t="b">
        <v>0</v>
      </c>
    </row>
    <row r="7" spans="1:35">
      <c r="A7" t="str">
        <f>'원시결과'!A10</f>
        <v>S01</v>
      </c>
      <c r="B7" t="str">
        <f>'원시결과'!B10</f>
        <v>structured</v>
      </c>
      <c r="C7" t="str">
        <f>'원시결과'!C10</f>
        <v>decoder-layer</v>
      </c>
      <c r="D7" t="str">
        <f>'원시결과'!D10</f>
        <v>fp32</v>
      </c>
      <c r="E7" t="str">
        <f>'원시결과'!H10</f>
        <v>완료</v>
      </c>
      <c r="F7" s="3">
        <f>IF('원시결과'!J10="","",'원시결과'!J10)</f>
        <v>0.7389992702819812</v>
      </c>
      <c r="G7" s="3">
        <f>IF('원시결과'!Q10="","",'원시결과'!Q10)</f>
        <v>0.6022300056180777</v>
      </c>
      <c r="H7" s="3">
        <f>IF('원시결과'!X10="","",'원시결과'!X10)</f>
        <v>0.7338994811052602</v>
      </c>
      <c r="I7" s="6">
        <f>IF(F7="","",F7-INDEX(F$2:F$23,MATCH("B01",$A$2:$A$23,0)))</f>
        <v>0.0011403431162126942</v>
      </c>
      <c r="J7" s="6">
        <f>IF(G7="","",G7-INDEX(G$2:G$23,MATCH("B01",$A$2:$A$23,0)))</f>
        <v>-0.00041269026707280165</v>
      </c>
      <c r="K7" s="6">
        <f>IF(H7="","",H7-INDEX(H$2:H$23,MATCH("B01",$A$2:$A$23,0)))</f>
        <v>0.02189239940004084</v>
      </c>
      <c r="L7" s="4">
        <f>IF('원시결과'!Z10="","",'원시결과'!Z10)</f>
        <v>44.509862000268186</v>
      </c>
      <c r="M7" s="4">
        <f>IF('원시결과'!AA10="","",'원시결과'!AA10)</f>
        <v>46.95399169904703</v>
      </c>
      <c r="N7" s="4">
        <f>IF('원시결과'!AB10="","",'원시결과'!AB10)</f>
        <v>47.97766403615241</v>
      </c>
      <c r="O7" s="4">
        <f>IF('원시결과'!AH10="","",'원시결과'!AH10)</f>
        <v>22.38280942030434</v>
      </c>
      <c r="P7" s="7">
        <f>IF('원시결과'!AE10="","",'원시결과'!AE10)</f>
        <v>0.011642104926461654</v>
      </c>
      <c r="Q7" s="4">
        <f>IF('원시결과'!AF10="","",'원시결과'!AF10)</f>
        <v>43.25048991560818</v>
      </c>
      <c r="R7" s="4">
        <f>IF('원시결과'!AG10="","",'원시결과'!AG10)</f>
        <v>45.8268677479708</v>
      </c>
      <c r="S7" s="8">
        <f>IF('원시결과'!AI10="","",'원시결과'!AI10/1048576)</f>
        <v>897.943359375</v>
      </c>
      <c r="T7" s="8">
        <f>IF('원시결과'!AK10="","",'원시결과'!AK10/1048576)</f>
        <v>123.25446701049805</v>
      </c>
      <c r="U7" s="7">
        <f>IF(L7="","",(INDEX(L$2:L$23,MATCH("B01",$A$2:$A$23,0))-L7)/INDEX(L$2:L$23,MATCH("B01",$A$2:$A$23,0)))</f>
        <v>0.02859859552769899</v>
      </c>
      <c r="V7" s="4">
        <f>IF(L7="","",INDEX(L$2:L$23,MATCH("B01",$A$2:$A$23,0))/L7)</f>
        <v>1.0294405540243527</v>
      </c>
      <c r="W7" s="7">
        <f>IF(S7="","",(INDEX(S$2:S$23,MATCH("B01",$A$2:$A$23,0))-S7)/INDEX(S$2:S$23,MATCH("B01",$A$2:$A$23,0)))</f>
        <v>0.0</v>
      </c>
      <c r="X7" s="7">
        <f>IF(T7="","",(INDEX(T$2:T$23,MATCH("B01",$A$2:$A$23,0))-T7)/INDEX(T$2:T$23,MATCH("B01",$A$2:$A$23,0)))</f>
        <v>0.04705027247490694</v>
      </c>
      <c r="Y7" t="b">
        <v>1</v>
      </c>
      <c r="Z7" t="b">
        <f>AND(I7&gt;=-'평가기준'!$B$10,J7&gt;=-'평가기준'!$B$11,K7&gt;=-'평가기준'!$B$12)</f>
        <v>1</v>
      </c>
      <c r="AA7" t="b">
        <f>AND(Y7,Z7)</f>
        <v>1</v>
      </c>
      <c r="AB7" t="b">
        <v>0</v>
      </c>
      <c r="AC7" t="b">
        <f>P7&gt;'평가기준'!$B$9</f>
        <v>0</v>
      </c>
      <c r="AD7" t="b">
        <f>AND(Y7,M7&gt;'평가기준'!$B$14)</f>
        <v>1</v>
      </c>
      <c r="AE7" s="5"/>
      <c r="AF7" t="b">
        <f>AND(Y7,L7&lt;='평가기준'!$B$14)</f>
        <v>0</v>
      </c>
      <c r="AG7" t="b">
        <f>AND(AB7,AF7,NOT(AI7))</f>
        <v>0</v>
      </c>
      <c r="AH7" t="b">
        <v>0</v>
      </c>
      <c r="AI7" t="b">
        <v>0</v>
      </c>
    </row>
    <row r="8" spans="1:35">
      <c r="A8" t="str">
        <f>'원시결과'!A11</f>
        <v>S02</v>
      </c>
      <c r="B8" t="str">
        <f>'원시결과'!B11</f>
        <v>structured</v>
      </c>
      <c r="C8" t="str">
        <f>'원시결과'!C11</f>
        <v>decoder-layer</v>
      </c>
      <c r="D8" t="str">
        <f>'원시결과'!D11</f>
        <v>fp32</v>
      </c>
      <c r="E8" t="str">
        <f>'원시결과'!H11</f>
        <v>완료</v>
      </c>
      <c r="F8" s="3">
        <f>IF('원시결과'!J11="","",'원시결과'!J11)</f>
        <v>0.7161213328372058</v>
      </c>
      <c r="G8" s="3">
        <f>IF('원시결과'!Q11="","",'원시결과'!Q11)</f>
        <v>0.5850419797466627</v>
      </c>
      <c r="H8" s="3">
        <f>IF('원시결과'!X11="","",'원시결과'!X11)</f>
        <v>0.7531286481742853</v>
      </c>
      <c r="I8" s="6">
        <f>IF(F8="","",F8-INDEX(F$2:F$23,MATCH("B01",$A$2:$A$23,0)))</f>
        <v>-0.021737594328562704</v>
      </c>
      <c r="J8" s="6">
        <f>IF(G8="","",G8-INDEX(G$2:G$23,MATCH("B01",$A$2:$A$23,0)))</f>
        <v>-0.017600716138487793</v>
      </c>
      <c r="K8" s="6">
        <f>IF(H8="","",H8-INDEX(H$2:H$23,MATCH("B01",$A$2:$A$23,0)))</f>
        <v>0.04112156646906595</v>
      </c>
      <c r="L8" s="4">
        <f>IF('원시결과'!Z11="","",'원시결과'!Z11)</f>
        <v>42.95711550003034</v>
      </c>
      <c r="M8" s="4">
        <f>IF('원시결과'!AA11="","",'원시결과'!AA11)</f>
        <v>45.106496605149005</v>
      </c>
      <c r="N8" s="4">
        <f>IF('원시결과'!AB11="","",'원시결과'!AB11)</f>
        <v>45.978701640851796</v>
      </c>
      <c r="O8" s="4">
        <f>IF('원시결과'!AH11="","",'원시결과'!AH11)</f>
        <v>23.196722477875145</v>
      </c>
      <c r="P8" s="7">
        <f>IF('원시결과'!AE11="","",'원시결과'!AE11)</f>
        <v>0.005551494122696149</v>
      </c>
      <c r="Q8" s="4">
        <f>IF('원시결과'!AF11="","",'원시결과'!AF11)</f>
        <v>42.345990284787945</v>
      </c>
      <c r="R8" s="4">
        <f>IF('원시결과'!AG11="","",'원시결과'!AG11)</f>
        <v>43.530379047466454</v>
      </c>
      <c r="S8" s="8">
        <f>IF('원시결과'!AI11="","",'원시결과'!AI11/1048576)</f>
        <v>897.943359375</v>
      </c>
      <c r="T8" s="8">
        <f>IF('원시결과'!AK11="","",'원시결과'!AK11/1048576)</f>
        <v>117.18737411499023</v>
      </c>
      <c r="U8" s="7">
        <f>IF(L8="","",(INDEX(L$2:L$23,MATCH("B01",$A$2:$A$23,0))-L8)/INDEX(L$2:L$23,MATCH("B01",$A$2:$A$23,0)))</f>
        <v>0.06248636923302758</v>
      </c>
      <c r="V8" s="4">
        <f>IF(L8="","",INDEX(L$2:L$23,MATCH("B01",$A$2:$A$23,0))/L8)</f>
        <v>1.0666511581083977</v>
      </c>
      <c r="W8" s="7">
        <f>IF(S8="","",(INDEX(S$2:S$23,MATCH("B01",$A$2:$A$23,0))-S8)/INDEX(S$2:S$23,MATCH("B01",$A$2:$A$23,0)))</f>
        <v>0.0</v>
      </c>
      <c r="X8" s="7">
        <f>IF(T8="","",(INDEX(T$2:T$23,MATCH("B01",$A$2:$A$23,0))-T8)/INDEX(T$2:T$23,MATCH("B01",$A$2:$A$23,0)))</f>
        <v>0.09395838592406212</v>
      </c>
      <c r="Y8" t="b">
        <v>1</v>
      </c>
      <c r="Z8" t="b">
        <f>AND(I8&gt;=-'평가기준'!$B$10,J8&gt;=-'평가기준'!$B$11,K8&gt;=-'평가기준'!$B$12)</f>
        <v>0</v>
      </c>
      <c r="AA8" t="b">
        <f>AND(Y8,Z8)</f>
        <v>0</v>
      </c>
      <c r="AB8" t="b">
        <v>0</v>
      </c>
      <c r="AC8" t="b">
        <f>P8&gt;'평가기준'!$B$9</f>
        <v>0</v>
      </c>
      <c r="AD8" t="b">
        <f>AND(Y8,M8&gt;'평가기준'!$B$14)</f>
        <v>1</v>
      </c>
      <c r="AE8" s="5" t="s">
        <v>303</v>
      </c>
      <c r="AF8" t="b">
        <f>AND(Y8,L8&lt;='평가기준'!$B$14)</f>
        <v>0</v>
      </c>
      <c r="AG8" t="b">
        <f>AND(AB8,AF8,NOT(AI8))</f>
        <v>0</v>
      </c>
      <c r="AH8" t="b">
        <v>0</v>
      </c>
      <c r="AI8" t="b">
        <v>0</v>
      </c>
    </row>
    <row r="9" spans="1:35">
      <c r="A9" t="str">
        <f>'원시결과'!A13</f>
        <v>S04</v>
      </c>
      <c r="B9" t="str">
        <f>'원시결과'!B13</f>
        <v>structured</v>
      </c>
      <c r="C9" t="str">
        <f>'원시결과'!C13</f>
        <v>ffn-dimension</v>
      </c>
      <c r="D9" t="str">
        <f>'원시결과'!D13</f>
        <v>fp32</v>
      </c>
      <c r="E9" t="str">
        <f>'원시결과'!H13</f>
        <v>완료</v>
      </c>
      <c r="F9" s="3">
        <f>IF('원시결과'!J13="","",'원시결과'!J13)</f>
        <v>0.5180516359118821</v>
      </c>
      <c r="G9" s="3">
        <f>IF('원시결과'!Q13="","",'원시결과'!Q13)</f>
        <v>0.5213500016890231</v>
      </c>
      <c r="H9" s="3">
        <f>IF('원시결과'!X13="","",'원시결과'!X13)</f>
        <v>0.6475576194715931</v>
      </c>
      <c r="I9" s="6">
        <f>IF(F9="","",F9-INDEX(F$2:F$23,MATCH("B01",$A$2:$A$23,0)))</f>
        <v>-0.21980729125388643</v>
      </c>
      <c r="J9" s="6">
        <f>IF(G9="","",G9-INDEX(G$2:G$23,MATCH("B01",$A$2:$A$23,0)))</f>
        <v>-0.08129269419612739</v>
      </c>
      <c r="K9" s="6">
        <f>IF(H9="","",H9-INDEX(H$2:H$23,MATCH("B01",$A$2:$A$23,0)))</f>
        <v>-0.06444946223362624</v>
      </c>
      <c r="L9" s="4">
        <f>IF('원시결과'!Z13="","",'원시결과'!Z13)</f>
        <v>45.76865499984706</v>
      </c>
      <c r="M9" s="4">
        <f>IF('원시결과'!AA13="","",'원시결과'!AA13)</f>
        <v>48.07662969978992</v>
      </c>
      <c r="N9" s="4">
        <f>IF('원시결과'!AB13="","",'원시결과'!AB13)</f>
        <v>48.893655821011635</v>
      </c>
      <c r="O9" s="4">
        <f>IF('원시결과'!AH13="","",'원시결과'!AH13)</f>
        <v>21.791247505862056</v>
      </c>
      <c r="P9" s="7">
        <f>IF('원시결과'!AE13="","",'원시결과'!AE13)</f>
        <v>0.005799672497766354</v>
      </c>
      <c r="Q9" s="4">
        <f>IF('원시결과'!AF13="","",'원시결과'!AF13)</f>
        <v>45.099383198645455</v>
      </c>
      <c r="R9" s="4">
        <f>IF('원시결과'!AG13="","",'원시결과'!AG13)</f>
        <v>46.41799746565425</v>
      </c>
      <c r="S9" s="8">
        <f>IF('원시결과'!AI13="","",'원시결과'!AI13/1048576)</f>
        <v>897.943359375</v>
      </c>
      <c r="T9" s="8">
        <f>IF('원시결과'!AK13="","",'원시결과'!AK13/1048576)</f>
        <v>121.19233322143555</v>
      </c>
      <c r="U9" s="7">
        <f>IF(L9="","",(INDEX(L$2:L$23,MATCH("B01",$A$2:$A$23,0))-L9)/INDEX(L$2:L$23,MATCH("B01",$A$2:$A$23,0)))</f>
        <v>0.0011261830604698208</v>
      </c>
      <c r="V9" s="4">
        <f>IF(L9="","",INDEX(L$2:L$23,MATCH("B01",$A$2:$A$23,0))/L9)</f>
        <v>1.0011274527786906</v>
      </c>
      <c r="W9" s="7">
        <f>IF(S9="","",(INDEX(S$2:S$23,MATCH("B01",$A$2:$A$23,0))-S9)/INDEX(S$2:S$23,MATCH("B01",$A$2:$A$23,0)))</f>
        <v>0.0</v>
      </c>
      <c r="X9" s="7">
        <f>IF(T9="","",(INDEX(T$2:T$23,MATCH("B01",$A$2:$A$23,0))-T9)/INDEX(T$2:T$23,MATCH("B01",$A$2:$A$23,0)))</f>
        <v>0.0629937906294256</v>
      </c>
      <c r="Y9" t="b">
        <v>1</v>
      </c>
      <c r="Z9" t="b">
        <f>AND(I9&gt;=-'평가기준'!$B$10,J9&gt;=-'평가기준'!$B$11,K9&gt;=-'평가기준'!$B$12)</f>
        <v>0</v>
      </c>
      <c r="AA9" t="b">
        <f>AND(Y9,Z9)</f>
        <v>0</v>
      </c>
      <c r="AB9" t="b">
        <v>0</v>
      </c>
      <c r="AC9" t="b">
        <f>P9&gt;'평가기준'!$B$9</f>
        <v>0</v>
      </c>
      <c r="AD9" t="b">
        <f>AND(Y9,M9&gt;'평가기준'!$B$14)</f>
        <v>1</v>
      </c>
      <c r="AE9" s="5" t="s">
        <v>303</v>
      </c>
      <c r="AF9" t="b">
        <f>AND(Y9,L9&lt;='평가기준'!$B$14)</f>
        <v>0</v>
      </c>
      <c r="AG9" t="b">
        <f>AND(AB9,AF9,NOT(AI9))</f>
        <v>0</v>
      </c>
      <c r="AH9" t="b">
        <v>0</v>
      </c>
      <c r="AI9" t="b">
        <v>0</v>
      </c>
    </row>
    <row r="10" spans="1:35">
      <c r="A10" t="str">
        <f>'원시결과'!A14</f>
        <v>C01</v>
      </c>
      <c r="B10" t="str">
        <f>'원시결과'!B14</f>
        <v>combined</v>
      </c>
      <c r="C10" t="str">
        <f>'원시결과'!C14</f>
        <v>structured-selected</v>
      </c>
      <c r="D10" t="str">
        <f>'원시결과'!D14</f>
        <v>fp16</v>
      </c>
      <c r="E10" t="str">
        <f>'원시결과'!H14</f>
        <v>완료</v>
      </c>
      <c r="F10" s="3">
        <f>IF('원시결과'!J14="","",'원시결과'!J14)</f>
        <v>0.738597901902575</v>
      </c>
      <c r="G10" s="3">
        <f>IF('원시결과'!Q14="","",'원시결과'!Q14)</f>
        <v>0.6029119261351803</v>
      </c>
      <c r="H10" s="3">
        <f>IF('원시결과'!X14="","",'원시결과'!X14)</f>
        <v>0.7366895364204816</v>
      </c>
      <c r="I10" s="6">
        <f>IF(F10="","",F10-INDEX(F$2:F$23,MATCH("B01",$A$2:$A$23,0)))</f>
        <v>0.000738974736806508</v>
      </c>
      <c r="J10" s="6">
        <f>IF(G10="","",G10-INDEX(G$2:G$23,MATCH("B01",$A$2:$A$23,0)))</f>
        <v>0.00026923025002978385</v>
      </c>
      <c r="K10" s="6">
        <f>IF(H10="","",H10-INDEX(H$2:H$23,MATCH("B01",$A$2:$A$23,0)))</f>
        <v>0.024682454715262314</v>
      </c>
      <c r="L10" s="4">
        <f>IF('원시결과'!Z14="","",'원시결과'!Z14)</f>
        <v>25.29960950050736</v>
      </c>
      <c r="M10" s="4">
        <f>IF('원시결과'!AA14="","",'원시결과'!AA14)</f>
        <v>27.511681694886644</v>
      </c>
      <c r="N10" s="4">
        <f>IF('원시결과'!AB14="","",'원시결과'!AB14)</f>
        <v>28.20130314830749</v>
      </c>
      <c r="O10" s="4">
        <f>IF('원시결과'!AH14="","",'원시결과'!AH14)</f>
        <v>39.13140635342868</v>
      </c>
      <c r="P10" s="7">
        <f>IF('원시결과'!AE14="","",'원시결과'!AE14)</f>
        <v>0.029110828330105306</v>
      </c>
      <c r="Q10" s="4">
        <f>IF('원시결과'!AF14="","",'원시결과'!AF14)</f>
        <v>23.59833650741497</v>
      </c>
      <c r="R10" s="4">
        <f>IF('원시결과'!AG14="","",'원시결과'!AG14)</f>
        <v>27.27775349248352</v>
      </c>
      <c r="S10" s="8">
        <f>IF('원시결과'!AI14="","",'원시결과'!AI14/1048576)</f>
        <v>897.943359375</v>
      </c>
      <c r="T10" s="8">
        <f>IF('원시결과'!AK14="","",'원시결과'!AK14/1048576)</f>
        <v>64.7291145324707</v>
      </c>
      <c r="U10" s="7">
        <f>IF(L10="","",(INDEX(L$2:L$23,MATCH("B01",$A$2:$A$23,0))-L10)/INDEX(L$2:L$23,MATCH("B01",$A$2:$A$23,0)))</f>
        <v>0.44785099083781615</v>
      </c>
      <c r="V10" s="4">
        <f>IF(L10="","",INDEX(L$2:L$23,MATCH("B01",$A$2:$A$23,0))/L10)</f>
        <v>1.8111053056445274</v>
      </c>
      <c r="W10" s="7">
        <f>IF(S10="","",(INDEX(S$2:S$23,MATCH("B01",$A$2:$A$23,0))-S10)/INDEX(S$2:S$23,MATCH("B01",$A$2:$A$23,0)))</f>
        <v>0.0</v>
      </c>
      <c r="X10" s="7">
        <f>IF(T10="","",(INDEX(T$2:T$23,MATCH("B01",$A$2:$A$23,0))-T10)/INDEX(T$2:T$23,MATCH("B01",$A$2:$A$23,0)))</f>
        <v>0.4995427463784767</v>
      </c>
      <c r="Y10" t="b">
        <v>1</v>
      </c>
      <c r="Z10" t="b">
        <f>AND(I10&gt;=-'평가기준'!$B$10,J10&gt;=-'평가기준'!$B$11,K10&gt;=-'평가기준'!$B$12)</f>
        <v>1</v>
      </c>
      <c r="AA10" t="b">
        <f>AND(Y10,Z10)</f>
        <v>1</v>
      </c>
      <c r="AB10" t="b">
        <v>1</v>
      </c>
      <c r="AC10" t="b">
        <f>P10&gt;'평가기준'!$B$9</f>
        <v>0</v>
      </c>
      <c r="AD10" t="b">
        <f>AND(Y10,M10&gt;'평가기준'!$B$14)</f>
        <v>0</v>
      </c>
      <c r="AE10" s="5"/>
      <c r="AF10" t="b">
        <f>AND(Y10,L10&lt;='평가기준'!$B$14)</f>
        <v>1</v>
      </c>
      <c r="AG10" t="b">
        <f>AND(AB10,AF10,NOT(AI10))</f>
        <v>1</v>
      </c>
      <c r="AH10" t="b">
        <v>0</v>
      </c>
      <c r="AI10" t="b">
        <v>0</v>
      </c>
    </row>
    <row r="11" spans="1:35">
      <c r="A11" t="str">
        <f>'원시결과'!A15</f>
        <v>C02</v>
      </c>
      <c r="B11" t="str">
        <f>'원시결과'!B15</f>
        <v>combined</v>
      </c>
      <c r="C11" t="str">
        <f>'원시결과'!C15</f>
        <v>structured-selected</v>
      </c>
      <c r="D11" t="str">
        <f>'원시결과'!D15</f>
        <v>int8</v>
      </c>
      <c r="E11" t="str">
        <f>'원시결과'!H15</f>
        <v>완료</v>
      </c>
      <c r="F11" s="3">
        <f>IF('원시결과'!J15="","",'원시결과'!J15)</f>
        <v>0.7400863602009445</v>
      </c>
      <c r="G11" s="3">
        <f>IF('원시결과'!Q15="","",'원시결과'!Q15)</f>
        <v>0.6023425986945383</v>
      </c>
      <c r="H11" s="3">
        <f>IF('원시결과'!X15="","",'원시결과'!X15)</f>
        <v>0.741211228206296</v>
      </c>
      <c r="I11" s="6">
        <f>IF(F11="","",F11-INDEX(F$2:F$23,MATCH("B01",$A$2:$A$23,0)))</f>
        <v>0.0022274330351760296</v>
      </c>
      <c r="J11" s="6">
        <f>IF(G11="","",G11-INDEX(G$2:G$23,MATCH("B01",$A$2:$A$23,0)))</f>
        <v>-0.00030009719061219187</v>
      </c>
      <c r="K11" s="6">
        <f>IF(H11="","",H11-INDEX(H$2:H$23,MATCH("B01",$A$2:$A$23,0)))</f>
        <v>0.029204146501076722</v>
      </c>
      <c r="L11" s="4">
        <f>IF('원시결과'!Z15="","",'원시결과'!Z15)</f>
        <v>26.182795998465735</v>
      </c>
      <c r="M11" s="4">
        <f>IF('원시결과'!AA15="","",'원시결과'!AA15)</f>
        <v>27.425261502867215</v>
      </c>
      <c r="N11" s="4">
        <f>IF('원시결과'!AB15="","",'원시결과'!AB15)</f>
        <v>27.946537816678756</v>
      </c>
      <c r="O11" s="4">
        <f>IF('원시결과'!AH15="","",'원시결과'!AH15)</f>
        <v>38.4598938550889</v>
      </c>
      <c r="P11" s="7">
        <f>IF('원시결과'!AE15="","",'원시결과'!AE15)</f>
        <v>0.008494843897792766</v>
      </c>
      <c r="Q11" s="4">
        <f>IF('원시결과'!AF15="","",'원시결과'!AF15)</f>
        <v>25.581456137389225</v>
      </c>
      <c r="R11" s="4">
        <f>IF('원시결과'!AG15="","",'원시결과'!AG15)</f>
        <v>26.6844798620685</v>
      </c>
      <c r="S11" s="8">
        <f>IF('원시결과'!AI15="","",'원시결과'!AI15/1048576)</f>
        <v>897.943359375</v>
      </c>
      <c r="T11" s="8">
        <f>IF('원시결과'!AK15="","",'원시결과'!AK15/1048576)</f>
        <v>64.81132125854492</v>
      </c>
      <c r="U11" s="7">
        <f>IF(L11="","",(INDEX(L$2:L$23,MATCH("B01",$A$2:$A$23,0))-L11)/INDEX(L$2:L$23,MATCH("B01",$A$2:$A$23,0)))</f>
        <v>0.42857596804573084</v>
      </c>
      <c r="V11" s="4">
        <f>IF(L11="","",INDEX(L$2:L$23,MATCH("B01",$A$2:$A$23,0))/L11)</f>
        <v>1.7500139022504912</v>
      </c>
      <c r="W11" s="7">
        <f>IF(S11="","",(INDEX(S$2:S$23,MATCH("B01",$A$2:$A$23,0))-S11)/INDEX(S$2:S$23,MATCH("B01",$A$2:$A$23,0)))</f>
        <v>0.0</v>
      </c>
      <c r="X11" s="7">
        <f>IF(T11="","",(INDEX(T$2:T$23,MATCH("B01",$A$2:$A$23,0))-T11)/INDEX(T$2:T$23,MATCH("B01",$A$2:$A$23,0)))</f>
        <v>0.49890715986292683</v>
      </c>
      <c r="Y11" t="b">
        <v>1</v>
      </c>
      <c r="Z11" t="b">
        <f>AND(I11&gt;=-'평가기준'!$B$10,J11&gt;=-'평가기준'!$B$11,K11&gt;=-'평가기준'!$B$12)</f>
        <v>1</v>
      </c>
      <c r="AA11" t="b">
        <f>AND(Y11,Z11)</f>
        <v>1</v>
      </c>
      <c r="AB11" t="b">
        <v>0</v>
      </c>
      <c r="AC11" t="b">
        <f>P11&gt;'평가기준'!$B$9</f>
        <v>0</v>
      </c>
      <c r="AD11" t="b">
        <f>AND(Y11,M11&gt;'평가기준'!$B$14)</f>
        <v>0</v>
      </c>
      <c r="AE11" s="5"/>
      <c r="AF11" t="b">
        <f>AND(Y11,L11&lt;='평가기준'!$B$14)</f>
        <v>1</v>
      </c>
      <c r="AG11" t="b">
        <f>AND(AB11,AF11,NOT(AI11))</f>
        <v>0</v>
      </c>
      <c r="AH11" t="b">
        <v>0</v>
      </c>
      <c r="AI11" t="b">
        <v>0</v>
      </c>
    </row>
    <row r="12" spans="1:35">
      <c r="A12" t="str">
        <f>'원시결과'!A16</f>
        <v>C03</v>
      </c>
      <c r="B12" t="str">
        <f>'원시결과'!B16</f>
        <v>combined</v>
      </c>
      <c r="C12" t="str">
        <f>'원시결과'!C16</f>
        <v>structured-resolution</v>
      </c>
      <c r="D12" t="str">
        <f>'원시결과'!D16</f>
        <v>fp32</v>
      </c>
      <c r="E12" t="str">
        <f>'원시결과'!H16</f>
        <v>완료</v>
      </c>
      <c r="F12" s="3">
        <f>IF('원시결과'!J16="","",'원시결과'!J16)</f>
        <v>0.7318819382580608</v>
      </c>
      <c r="G12" s="3">
        <f>IF('원시결과'!Q16="","",'원시결과'!Q16)</f>
        <v>0.5939927335145</v>
      </c>
      <c r="H12" s="3">
        <f>IF('원시결과'!X16="","",'원시결과'!X16)</f>
        <v>0.7353064144990077</v>
      </c>
      <c r="I12" s="6">
        <f>IF(F12="","",F12-INDEX(F$2:F$23,MATCH("B01",$A$2:$A$23,0)))</f>
        <v>-0.005976988907707703</v>
      </c>
      <c r="J12" s="6">
        <f>IF(G12="","",G12-INDEX(G$2:G$23,MATCH("B01",$A$2:$A$23,0)))</f>
        <v>-0.008649962370650521</v>
      </c>
      <c r="K12" s="6">
        <f>IF(H12="","",H12-INDEX(H$2:H$23,MATCH("B01",$A$2:$A$23,0)))</f>
        <v>0.023299332793788374</v>
      </c>
      <c r="L12" s="4">
        <f>IF('원시결과'!Z16="","",'원시결과'!Z16)</f>
        <v>36.29605549576809</v>
      </c>
      <c r="M12" s="4">
        <f>IF('원시결과'!AA16="","",'원시결과'!AA16)</f>
        <v>37.83398185187252</v>
      </c>
      <c r="N12" s="4">
        <f>IF('원시결과'!AB16="","",'원시결과'!AB16)</f>
        <v>38.435297518444706</v>
      </c>
      <c r="O12" s="4">
        <f>IF('원시결과'!AH16="","",'원시결과'!AH16)</f>
        <v>27.617473185137893</v>
      </c>
      <c r="P12" s="7">
        <f>IF('원시결과'!AE16="","",'원시결과'!AE16)</f>
        <v>0.00487708089505782</v>
      </c>
      <c r="Q12" s="4">
        <f>IF('원시결과'!AF16="","",'원시결과'!AF16)</f>
        <v>35.86461110025129</v>
      </c>
      <c r="R12" s="4">
        <f>IF('원시결과'!AG16="","",'원시결과'!AG16)</f>
        <v>36.744364569079</v>
      </c>
      <c r="S12" s="8">
        <f>IF('원시결과'!AI16="","",'원시결과'!AI16/1048576)</f>
        <v>893.1865234375</v>
      </c>
      <c r="T12" s="8">
        <f>IF('원시결과'!AK16="","",'원시결과'!AK16/1048576)</f>
        <v>122.59409713745117</v>
      </c>
      <c r="U12" s="7">
        <f>IF(L12="","",(INDEX(L$2:L$23,MATCH("B01",$A$2:$A$23,0))-L12)/INDEX(L$2:L$23,MATCH("B01",$A$2:$A$23,0)))</f>
        <v>0.20786006289614517</v>
      </c>
      <c r="V12" s="4">
        <f>IF(L12="","",INDEX(L$2:L$23,MATCH("B01",$A$2:$A$23,0))/L12)</f>
        <v>1.2624032107964445</v>
      </c>
      <c r="W12" s="7">
        <f>IF(S12="","",(INDEX(S$2:S$23,MATCH("B01",$A$2:$A$23,0))-S12)/INDEX(S$2:S$23,MATCH("B01",$A$2:$A$23,0)))</f>
        <v>0.0052974788307482154</v>
      </c>
      <c r="X12" s="7">
        <f>IF(T12="","",(INDEX(T$2:T$23,MATCH("B01",$A$2:$A$23,0))-T12)/INDEX(T$2:T$23,MATCH("B01",$A$2:$A$23,0)))</f>
        <v>0.05215596402385664</v>
      </c>
      <c r="Y12" t="b">
        <v>1</v>
      </c>
      <c r="Z12" t="b">
        <f>AND(I12&gt;=-'평가기준'!$B$10,J12&gt;=-'평가기준'!$B$11,K12&gt;=-'평가기준'!$B$12)</f>
        <v>1</v>
      </c>
      <c r="AA12" t="b">
        <f>AND(Y12,Z12)</f>
        <v>1</v>
      </c>
      <c r="AB12" t="b">
        <v>0</v>
      </c>
      <c r="AC12" t="b">
        <f>P12&gt;'평가기준'!$B$9</f>
        <v>0</v>
      </c>
      <c r="AD12" t="b">
        <f>AND(Y12,M12&gt;'평가기준'!$B$14)</f>
        <v>1</v>
      </c>
      <c r="AE12" s="5"/>
      <c r="AF12" t="b">
        <f>AND(Y12,L12&lt;='평가기준'!$B$14)</f>
        <v>0</v>
      </c>
      <c r="AG12" t="b">
        <f>AND(AB12,AF12,NOT(AI12))</f>
        <v>0</v>
      </c>
      <c r="AH12" t="b">
        <v>0</v>
      </c>
      <c r="AI12" t="b">
        <v>0</v>
      </c>
    </row>
    <row r="13" spans="1:35">
      <c r="A13" t="str">
        <f>'원시결과'!A17</f>
        <v>C04</v>
      </c>
      <c r="B13" t="str">
        <f>'원시결과'!B17</f>
        <v>combined</v>
      </c>
      <c r="C13" t="str">
        <f>'원시결과'!C17</f>
        <v>structured-resolution</v>
      </c>
      <c r="D13" t="str">
        <f>'원시결과'!D17</f>
        <v>fp32</v>
      </c>
      <c r="E13" t="str">
        <f>'원시결과'!H17</f>
        <v>완료</v>
      </c>
      <c r="F13" s="3">
        <f>IF('원시결과'!J17="","",'원시결과'!J17)</f>
        <v>0.7310415390195883</v>
      </c>
      <c r="G13" s="3">
        <f>IF('원시결과'!Q17="","",'원시결과'!Q17)</f>
        <v>0.599605674186933</v>
      </c>
      <c r="H13" s="3">
        <f>IF('원시결과'!X17="","",'원시결과'!X17)</f>
        <v>0.7281783411589681</v>
      </c>
      <c r="I13" s="6">
        <f>IF(F13="","",F13-INDEX(F$2:F$23,MATCH("B01",$A$2:$A$23,0)))</f>
        <v>-0.006817388146180159</v>
      </c>
      <c r="J13" s="6">
        <f>IF(G13="","",G13-INDEX(G$2:G$23,MATCH("B01",$A$2:$A$23,0)))</f>
        <v>-0.0030370216982175124</v>
      </c>
      <c r="K13" s="6">
        <f>IF(H13="","",H13-INDEX(H$2:H$23,MATCH("B01",$A$2:$A$23,0)))</f>
        <v>0.016171259453748754</v>
      </c>
      <c r="L13" s="4">
        <f>IF('원시결과'!Z17="","",'원시결과'!Z17)</f>
        <v>41.97326050052652</v>
      </c>
      <c r="M13" s="4">
        <f>IF('원시결과'!AA17="","",'원시결과'!AA17)</f>
        <v>43.17550875166489</v>
      </c>
      <c r="N13" s="4">
        <f>IF('원시결과'!AB17="","",'원시결과'!AB17)</f>
        <v>43.628503036961774</v>
      </c>
      <c r="O13" s="4">
        <f>IF('원시결과'!AH17="","",'원시결과'!AH17)</f>
        <v>23.94615843830737</v>
      </c>
      <c r="P13" s="7">
        <f>IF('원시결과'!AE17="","",'원시결과'!AE17)</f>
        <v>0.0025527561390843475</v>
      </c>
      <c r="Q13" s="4">
        <f>IF('원시결과'!AF17="","",'원시결과'!AF17)</f>
        <v>41.68941190833523</v>
      </c>
      <c r="R13" s="4">
        <f>IF('원시결과'!AG17="","",'원시결과'!AG17)</f>
        <v>42.22156775689852</v>
      </c>
      <c r="S13" s="8">
        <f>IF('원시결과'!AI17="","",'원시결과'!AI17/1048576)</f>
        <v>896.27587890625</v>
      </c>
      <c r="T13" s="8">
        <f>IF('원시결과'!AK17="","",'원시결과'!AK17/1048576)</f>
        <v>122.99455642700195</v>
      </c>
      <c r="U13" s="7">
        <f>IF(L13="","",(INDEX(L$2:L$23,MATCH("B01",$A$2:$A$23,0))-L13)/INDEX(L$2:L$23,MATCH("B01",$A$2:$A$23,0)))</f>
        <v>0.08395842251212665</v>
      </c>
      <c r="V13" s="4">
        <f>IF(L13="","",INDEX(L$2:L$23,MATCH("B01",$A$2:$A$23,0))/L13)</f>
        <v>1.091653506320501</v>
      </c>
      <c r="W13" s="7">
        <f>IF(S13="","",(INDEX(S$2:S$23,MATCH("B01",$A$2:$A$23,0))-S13)/INDEX(S$2:S$23,MATCH("B01",$A$2:$A$23,0)))</f>
        <v>0.0018569996106554258</v>
      </c>
      <c r="X13" s="7">
        <f>IF(T13="","",(INDEX(T$2:T$23,MATCH("B01",$A$2:$A$23,0))-T13)/INDEX(T$2:T$23,MATCH("B01",$A$2:$A$23,0)))</f>
        <v>0.04905978763270154</v>
      </c>
      <c r="Y13" t="b">
        <v>1</v>
      </c>
      <c r="Z13" t="b">
        <f>AND(I13&gt;=-'평가기준'!$B$10,J13&gt;=-'평가기준'!$B$11,K13&gt;=-'평가기준'!$B$12)</f>
        <v>1</v>
      </c>
      <c r="AA13" t="b">
        <f>AND(Y13,Z13)</f>
        <v>1</v>
      </c>
      <c r="AB13" t="b">
        <v>0</v>
      </c>
      <c r="AC13" t="b">
        <f>P13&gt;'평가기준'!$B$9</f>
        <v>0</v>
      </c>
      <c r="AD13" t="b">
        <f>AND(Y13,M13&gt;'평가기준'!$B$14)</f>
        <v>1</v>
      </c>
      <c r="AE13" s="5"/>
      <c r="AF13" t="b">
        <f>AND(Y13,L13&lt;='평가기준'!$B$14)</f>
        <v>0</v>
      </c>
      <c r="AG13" t="b">
        <f>AND(AB13,AF13,NOT(AI13))</f>
        <v>0</v>
      </c>
      <c r="AH13" t="b">
        <v>0</v>
      </c>
      <c r="AI13" t="b">
        <v>0</v>
      </c>
    </row>
    <row r="14" spans="1:35">
      <c r="A14" t="str">
        <f>'원시결과'!A18</f>
        <v>R01</v>
      </c>
      <c r="B14" t="str">
        <f>'원시결과'!B18</f>
        <v>input</v>
      </c>
      <c r="C14" t="str">
        <f>'원시결과'!C18</f>
        <v>input-resolution</v>
      </c>
      <c r="D14" t="str">
        <f>'원시결과'!D18</f>
        <v>fp16</v>
      </c>
      <c r="E14" t="str">
        <f>'원시결과'!H18</f>
        <v>완료</v>
      </c>
      <c r="F14" s="3">
        <f>IF('원시결과'!J18="","",'원시결과'!J18)</f>
        <v>0.7287984799915459</v>
      </c>
      <c r="G14" s="3">
        <f>IF('원시결과'!Q18="","",'원시결과'!Q18)</f>
        <v>0.5941087991992697</v>
      </c>
      <c r="H14" s="3">
        <f>IF('원시결과'!X18="","",'원시결과'!X18)</f>
        <v>0.7034388832290747</v>
      </c>
      <c r="I14" s="6">
        <f>IF(F14="","",F14-INDEX(F$2:F$23,MATCH("B01",$A$2:$A$23,0)))</f>
        <v>-0.009060447174222608</v>
      </c>
      <c r="J14" s="6">
        <f>IF(G14="","",G14-INDEX(G$2:G$23,MATCH("B01",$A$2:$A$23,0)))</f>
        <v>-0.008533896685880782</v>
      </c>
      <c r="K14" s="6">
        <f>IF(H14="","",H14-INDEX(H$2:H$23,MATCH("B01",$A$2:$A$23,0)))</f>
        <v>-0.00856819847614465</v>
      </c>
      <c r="L14" s="4">
        <f>IF('원시결과'!Z18="","",'원시결과'!Z18)</f>
        <v>24.010295503103407</v>
      </c>
      <c r="M14" s="4">
        <f>IF('원시결과'!AA18="","",'원시결과'!AA18)</f>
        <v>25.820945401574136</v>
      </c>
      <c r="N14" s="4">
        <f>IF('원시결과'!AB18="","",'원시결과'!AB18)</f>
        <v>26.436979941063328</v>
      </c>
      <c r="O14" s="4">
        <f>IF('원시결과'!AH18="","",'원시결과'!AH18)</f>
        <v>41.484936640796725</v>
      </c>
      <c r="P14" s="7">
        <f>IF('원시결과'!AE18="","",'원시결과'!AE18)</f>
        <v>0.03824869827552258</v>
      </c>
      <c r="Q14" s="4">
        <f>IF('원시결과'!AF18="","",'원시결과'!AF18)</f>
        <v>21.728276706754528</v>
      </c>
      <c r="R14" s="4">
        <f>IF('원시결과'!AG18="","",'원시결과'!AG18)</f>
        <v>26.291218959815815</v>
      </c>
      <c r="S14" s="8">
        <f>IF('원시결과'!AI18="","",'원시결과'!AI18/1048576)</f>
        <v>893.1865234375</v>
      </c>
      <c r="T14" s="8">
        <f>IF('원시결과'!AK18="","",'원시결과'!AK18/1048576)</f>
        <v>68.05361557006836</v>
      </c>
      <c r="U14" s="7">
        <f>IF(L14="","",(INDEX(L$2:L$23,MATCH("B01",$A$2:$A$23,0))-L14)/INDEX(L$2:L$23,MATCH("B01",$A$2:$A$23,0)))</f>
        <v>0.47598950602522444</v>
      </c>
      <c r="V14" s="4">
        <f>IF(L14="","",INDEX(L$2:L$23,MATCH("B01",$A$2:$A$23,0))/L14)</f>
        <v>1.908358728495497</v>
      </c>
      <c r="W14" s="7">
        <f>IF(S14="","",(INDEX(S$2:S$23,MATCH("B01",$A$2:$A$23,0))-S14)/INDEX(S$2:S$23,MATCH("B01",$A$2:$A$23,0)))</f>
        <v>0.0052974788307482154</v>
      </c>
      <c r="X14" s="7">
        <f>IF(T14="","",(INDEX(T$2:T$23,MATCH("B01",$A$2:$A$23,0))-T14)/INDEX(T$2:T$23,MATCH("B01",$A$2:$A$23,0)))</f>
        <v>0.4738391557924597</v>
      </c>
      <c r="Y14" t="b">
        <v>1</v>
      </c>
      <c r="Z14" t="b">
        <f>AND(I14&gt;=-'평가기준'!$B$10,J14&gt;=-'평가기준'!$B$11,K14&gt;=-'평가기준'!$B$12)</f>
        <v>1</v>
      </c>
      <c r="AA14" t="b">
        <f>AND(Y14,Z14)</f>
        <v>1</v>
      </c>
      <c r="AB14" t="b">
        <v>1</v>
      </c>
      <c r="AC14" t="b">
        <f>P14&gt;'평가기준'!$B$9</f>
        <v>0</v>
      </c>
      <c r="AD14" t="b">
        <f>AND(Y14,M14&gt;'평가기준'!$B$14)</f>
        <v>0</v>
      </c>
      <c r="AE14" s="5"/>
      <c r="AF14" t="b">
        <f>AND(Y14,L14&lt;='평가기준'!$B$14)</f>
        <v>1</v>
      </c>
      <c r="AG14" t="b">
        <f>AND(AB14,AF14,NOT(AI14))</f>
        <v>1</v>
      </c>
      <c r="AH14" t="b">
        <v>0</v>
      </c>
      <c r="AI14" t="b">
        <v>0</v>
      </c>
    </row>
    <row r="15" spans="1:35">
      <c r="A15" t="str">
        <f>'원시결과'!A19</f>
        <v>R02</v>
      </c>
      <c r="B15" t="str">
        <f>'원시결과'!B19</f>
        <v>input</v>
      </c>
      <c r="C15" t="str">
        <f>'원시결과'!C19</f>
        <v>input-resolution</v>
      </c>
      <c r="D15" t="str">
        <f>'원시결과'!D19</f>
        <v>fp32</v>
      </c>
      <c r="E15" t="str">
        <f>'원시결과'!H19</f>
        <v>완료</v>
      </c>
      <c r="F15" s="3">
        <f>IF('원시결과'!J19="","",'원시결과'!J19)</f>
        <v>0.7329731311010346</v>
      </c>
      <c r="G15" s="3">
        <f>IF('원시결과'!Q19="","",'원시결과'!Q19)</f>
        <v>0.5997268915175692</v>
      </c>
      <c r="H15" s="3">
        <f>IF('원시결과'!X19="","",'원시결과'!X19)</f>
        <v>0.7107549105524779</v>
      </c>
      <c r="I15" s="6">
        <f>IF(F15="","",F15-INDEX(F$2:F$23,MATCH("B01",$A$2:$A$23,0)))</f>
        <v>-0.004885796064733938</v>
      </c>
      <c r="J15" s="6">
        <f>IF(G15="","",G15-INDEX(G$2:G$23,MATCH("B01",$A$2:$A$23,0)))</f>
        <v>-0.0029158043675813206</v>
      </c>
      <c r="K15" s="6">
        <f>IF(H15="","",H15-INDEX(H$2:H$23,MATCH("B01",$A$2:$A$23,0)))</f>
        <v>-0.0012521711527414547</v>
      </c>
      <c r="L15" s="4">
        <f>IF('원시결과'!Z19="","",'원시결과'!Z19)</f>
        <v>42.96294300002046</v>
      </c>
      <c r="M15" s="4">
        <f>IF('원시결과'!AA19="","",'원시결과'!AA19)</f>
        <v>44.72060505286208</v>
      </c>
      <c r="N15" s="4">
        <f>IF('원시결과'!AB19="","",'원시결과'!AB19)</f>
        <v>45.70533483325562</v>
      </c>
      <c r="O15" s="4">
        <f>IF('원시결과'!AH19="","",'원시결과'!AH19)</f>
        <v>23.342538612043167</v>
      </c>
      <c r="P15" s="7">
        <f>IF('원시결과'!AE19="","",'원시결과'!AE19)</f>
        <v>0.01259339805367014</v>
      </c>
      <c r="Q15" s="4">
        <f>IF('원시결과'!AF19="","",'원시결과'!AF19)</f>
        <v>41.47482925676148</v>
      </c>
      <c r="R15" s="4">
        <f>IF('원시결과'!AG19="","",'원시결과'!AG19)</f>
        <v>44.15382974199612</v>
      </c>
      <c r="S15" s="8">
        <f>IF('원시결과'!AI19="","",'원시결과'!AI19/1048576)</f>
        <v>896.27587890625</v>
      </c>
      <c r="T15" s="8">
        <f>IF('원시결과'!AK19="","",'원시결과'!AK19/1048576)</f>
        <v>129.08879470825195</v>
      </c>
      <c r="U15" s="7">
        <f>IF(L15="","",(INDEX(L$2:L$23,MATCH("B01",$A$2:$A$23,0))-L15)/INDEX(L$2:L$23,MATCH("B01",$A$2:$A$23,0)))</f>
        <v>0.06235918749350816</v>
      </c>
      <c r="V15" s="4">
        <f>IF(L15="","",INDEX(L$2:L$23,MATCH("B01",$A$2:$A$23,0))/L15)</f>
        <v>1.0665064773863782</v>
      </c>
      <c r="W15" s="7">
        <f>IF(S15="","",(INDEX(S$2:S$23,MATCH("B01",$A$2:$A$23,0))-S15)/INDEX(S$2:S$23,MATCH("B01",$A$2:$A$23,0)))</f>
        <v>0.0018569996106554258</v>
      </c>
      <c r="X15" s="7">
        <f>IF(T15="","",(INDEX(T$2:T$23,MATCH("B01",$A$2:$A$23,0))-T15)/INDEX(T$2:T$23,MATCH("B01",$A$2:$A$23,0)))</f>
        <v>0.0019417979123327702</v>
      </c>
      <c r="Y15" t="b">
        <v>1</v>
      </c>
      <c r="Z15" t="b">
        <f>AND(I15&gt;=-'평가기준'!$B$10,J15&gt;=-'평가기준'!$B$11,K15&gt;=-'평가기준'!$B$12)</f>
        <v>1</v>
      </c>
      <c r="AA15" t="b">
        <f>AND(Y15,Z15)</f>
        <v>1</v>
      </c>
      <c r="AB15" t="b">
        <v>0</v>
      </c>
      <c r="AC15" t="b">
        <f>P15&gt;'평가기준'!$B$9</f>
        <v>0</v>
      </c>
      <c r="AD15" t="b">
        <f>AND(Y15,M15&gt;'평가기준'!$B$14)</f>
        <v>1</v>
      </c>
      <c r="AE15" s="5"/>
      <c r="AF15" t="b">
        <f>AND(Y15,L15&lt;='평가기준'!$B$14)</f>
        <v>0</v>
      </c>
      <c r="AG15" t="b">
        <f>AND(AB15,AF15,NOT(AI15))</f>
        <v>0</v>
      </c>
      <c r="AH15" t="b">
        <v>0</v>
      </c>
      <c r="AI15" t="b">
        <v>0</v>
      </c>
    </row>
    <row r="16" spans="1:35">
      <c r="A16" t="str">
        <f>'원시결과'!A20</f>
        <v>R03</v>
      </c>
      <c r="B16" t="str">
        <f>'원시결과'!B20</f>
        <v>input</v>
      </c>
      <c r="C16" t="str">
        <f>'원시결과'!C20</f>
        <v>input-resolution</v>
      </c>
      <c r="D16" t="str">
        <f>'원시결과'!D20</f>
        <v>fp32</v>
      </c>
      <c r="E16" t="str">
        <f>'원시결과'!H20</f>
        <v>완료</v>
      </c>
      <c r="F16" s="3">
        <f>IF('원시결과'!J20="","",'원시결과'!J20)</f>
        <v>0.7264564082481132</v>
      </c>
      <c r="G16" s="3">
        <f>IF('원시결과'!Q20="","",'원시결과'!Q20)</f>
        <v>0.5865409277639649</v>
      </c>
      <c r="H16" s="3">
        <f>IF('원시결과'!X20="","",'원시결과'!X20)</f>
        <v>0.7281027967504808</v>
      </c>
      <c r="I16" s="6">
        <f>IF(F16="","",F16-INDEX(F$2:F$23,MATCH("B01",$A$2:$A$23,0)))</f>
        <v>-0.011402518917655313</v>
      </c>
      <c r="J16" s="6">
        <f>IF(G16="","",G16-INDEX(G$2:G$23,MATCH("B01",$A$2:$A$23,0)))</f>
        <v>-0.016101768121185578</v>
      </c>
      <c r="K16" s="6">
        <f>IF(H16="","",H16-INDEX(H$2:H$23,MATCH("B01",$A$2:$A$23,0)))</f>
        <v>0.016095715045261527</v>
      </c>
      <c r="L16" s="4">
        <f>IF('원시결과'!Z20="","",'원시결과'!Z20)</f>
        <v>32.38640950439731</v>
      </c>
      <c r="M16" s="4">
        <f>IF('원시결과'!AA20="","",'원시결과'!AA20)</f>
        <v>34.875148851642734</v>
      </c>
      <c r="N16" s="4">
        <f>IF('원시결과'!AB20="","",'원시결과'!AB20)</f>
        <v>36.249679074171574</v>
      </c>
      <c r="O16" s="4">
        <f>IF('원시결과'!AH20="","",'원시결과'!AH20)</f>
        <v>30.724812898502734</v>
      </c>
      <c r="P16" s="7">
        <f>IF('원시결과'!AE20="","",'원시결과'!AE20)</f>
        <v>0.018478673547566837</v>
      </c>
      <c r="Q16" s="4">
        <f>IF('원시결과'!AF20="","",'원시결과'!AF20)</f>
        <v>30.92473606349131</v>
      </c>
      <c r="R16" s="4">
        <f>IF('원시결과'!AG20="","",'원시결과'!AG20)</f>
        <v>33.90069493400081</v>
      </c>
      <c r="S16" s="8">
        <f>IF('원시결과'!AI20="","",'원시결과'!AI20/1048576)</f>
        <v>890.42236328125</v>
      </c>
      <c r="T16" s="8">
        <f>IF('원시결과'!AK20="","",'원시결과'!AK20/1048576)</f>
        <v>128.2463264465332</v>
      </c>
      <c r="U16" s="7">
        <f>IF(L16="","",(INDEX(L$2:L$23,MATCH("B01",$A$2:$A$23,0))-L16)/INDEX(L$2:L$23,MATCH("B01",$A$2:$A$23,0)))</f>
        <v>0.29318577356638253</v>
      </c>
      <c r="V16" s="4">
        <f>IF(L16="","",INDEX(L$2:L$23,MATCH("B01",$A$2:$A$23,0))/L16)</f>
        <v>1.4147989140593762</v>
      </c>
      <c r="W16" s="7">
        <f>IF(S16="","",(INDEX(S$2:S$23,MATCH("B01",$A$2:$A$23,0))-S16)/INDEX(S$2:S$23,MATCH("B01",$A$2:$A$23,0)))</f>
        <v>0.008375802343462817</v>
      </c>
      <c r="X16" s="7">
        <f>IF(T16="","",(INDEX(T$2:T$23,MATCH("B01",$A$2:$A$23,0))-T16)/INDEX(T$2:T$23,MATCH("B01",$A$2:$A$23,0)))</f>
        <v>0.008455394700553367</v>
      </c>
      <c r="Y16" t="b">
        <v>1</v>
      </c>
      <c r="Z16" t="b">
        <f>AND(I16&gt;=-'평가기준'!$B$10,J16&gt;=-'평가기준'!$B$11,K16&gt;=-'평가기준'!$B$12)</f>
        <v>0</v>
      </c>
      <c r="AA16" t="b">
        <f>AND(Y16,Z16)</f>
        <v>0</v>
      </c>
      <c r="AB16" t="b">
        <v>0</v>
      </c>
      <c r="AC16" t="b">
        <f>P16&gt;'평가기준'!$B$9</f>
        <v>0</v>
      </c>
      <c r="AD16" t="b">
        <f>AND(Y16,M16&gt;'평가기준'!$B$14)</f>
        <v>1</v>
      </c>
      <c r="AE16" s="5" t="s">
        <v>303</v>
      </c>
      <c r="AF16" t="b">
        <f>AND(Y16,L16&lt;='평가기준'!$B$14)</f>
        <v>1</v>
      </c>
      <c r="AG16" t="b">
        <f>AND(AB16,AF16,NOT(AI16))</f>
        <v>0</v>
      </c>
      <c r="AH16" t="b">
        <v>0</v>
      </c>
      <c r="AI16" t="b">
        <v>0</v>
      </c>
    </row>
    <row r="17" spans="1:35">
      <c r="A17" t="str">
        <f>'원시결과'!A21</f>
        <v>Q01</v>
      </c>
      <c r="B17" t="str">
        <f>'원시결과'!B21</f>
        <v>precision</v>
      </c>
      <c r="C17" t="str">
        <f>'원시결과'!C21</f>
        <v>modelopt-int8-smoothquant</v>
      </c>
      <c r="D17" t="str">
        <f>'원시결과'!D21</f>
        <v>int8</v>
      </c>
      <c r="E17" t="str">
        <f>'원시결과'!H21</f>
        <v>완료</v>
      </c>
      <c r="F17" s="3">
        <f>IF('원시결과'!J21="","",'원시결과'!J21)</f>
        <v>0.593151862332506</v>
      </c>
      <c r="G17" s="3">
        <f>IF('원시결과'!Q21="","",'원시결과'!Q21)</f>
        <v>0.47432176245291</v>
      </c>
      <c r="H17" s="3">
        <f>IF('원시결과'!X21="","",'원시결과'!X21)</f>
        <v>0.6590965538365575</v>
      </c>
      <c r="I17" s="6">
        <f>IF(F17="","",F17-INDEX(F$2:F$23,MATCH("B01",$A$2:$A$23,0)))</f>
        <v>-0.14470706483326246</v>
      </c>
      <c r="J17" s="6">
        <f>IF(G17="","",G17-INDEX(G$2:G$23,MATCH("B01",$A$2:$A$23,0)))</f>
        <v>-0.1283209334322405</v>
      </c>
      <c r="K17" s="6">
        <f>IF(H17="","",H17-INDEX(H$2:H$23,MATCH("B01",$A$2:$A$23,0)))</f>
        <v>-0.052910527868661794</v>
      </c>
      <c r="L17" s="4">
        <f>IF('원시결과'!Z21="","",'원시결과'!Z21)</f>
        <v>25.113971998507623</v>
      </c>
      <c r="M17" s="4">
        <f>IF('원시결과'!AA21="","",'원시결과'!AA21)</f>
        <v>27.84945969469845</v>
      </c>
      <c r="N17" s="4">
        <f>IF('원시결과'!AB21="","",'원시결과'!AB21)</f>
        <v>28.663697791853334</v>
      </c>
      <c r="O17" s="4">
        <f>IF('원시결과'!AH21="","",'원시결과'!AH21)</f>
        <v>39.343868513300215</v>
      </c>
      <c r="P17" s="7">
        <f>IF('원시결과'!AE21="","",'원시결과'!AE21)</f>
        <v>0.010949708932196848</v>
      </c>
      <c r="Q17" s="4">
        <f>IF('원시결과'!AF21="","",'원시결과'!AF21)</f>
        <v>24.424612228240672</v>
      </c>
      <c r="R17" s="4">
        <f>IF('원시결과'!AG21="","",'원시결과'!AG21)</f>
        <v>25.7906057696614</v>
      </c>
      <c r="S17" s="8">
        <f>IF('원시결과'!AI21="","",'원시결과'!AI21/1048576)</f>
        <v>897.943359375</v>
      </c>
      <c r="T17" s="8">
        <f>IF('원시결과'!AK21="","",'원시결과'!AK21/1048576)</f>
        <v>47.81473159790039</v>
      </c>
      <c r="U17" s="7">
        <f>IF(L17="","",(INDEX(L$2:L$23,MATCH("B01",$A$2:$A$23,0))-L17)/INDEX(L$2:L$23,MATCH("B01",$A$2:$A$23,0)))</f>
        <v>0.45190241948893584</v>
      </c>
      <c r="V17" s="4">
        <f>IF(L17="","",INDEX(L$2:L$23,MATCH("B01",$A$2:$A$23,0))/L17)</f>
        <v>1.8244926370000891</v>
      </c>
      <c r="W17" s="7">
        <f>IF(S17="","",(INDEX(S$2:S$23,MATCH("B01",$A$2:$A$23,0))-S17)/INDEX(S$2:S$23,MATCH("B01",$A$2:$A$23,0)))</f>
        <v>0.0</v>
      </c>
      <c r="X17" s="7">
        <f>IF(T17="","",(INDEX(T$2:T$23,MATCH("B01",$A$2:$A$23,0))-T17)/INDEX(T$2:T$23,MATCH("B01",$A$2:$A$23,0)))</f>
        <v>0.6303173706148623</v>
      </c>
      <c r="Y17" t="b">
        <v>1</v>
      </c>
      <c r="Z17" t="b">
        <f>AND(I17&gt;=-'평가기준'!$B$10,J17&gt;=-'평가기준'!$B$11,K17&gt;=-'평가기준'!$B$12)</f>
        <v>0</v>
      </c>
      <c r="AA17" t="b">
        <f>AND(Y17,Z17)</f>
        <v>0</v>
      </c>
      <c r="AB17" t="b">
        <v>0</v>
      </c>
      <c r="AC17" t="b">
        <f>P17&gt;'평가기준'!$B$9</f>
        <v>0</v>
      </c>
      <c r="AD17" t="b">
        <f>AND(Y17,M17&gt;'평가기준'!$B$14)</f>
        <v>0</v>
      </c>
      <c r="AE17" s="5" t="s">
        <v>303</v>
      </c>
      <c r="AF17" t="b">
        <f>AND(Y17,L17&lt;='평가기준'!$B$14)</f>
        <v>1</v>
      </c>
      <c r="AG17" t="b">
        <f>AND(AB17,AF17,NOT(AI17))</f>
        <v>0</v>
      </c>
      <c r="AH17" t="b">
        <v>0</v>
      </c>
      <c r="AI17" t="b">
        <v>0</v>
      </c>
    </row>
    <row r="18" spans="1:35">
      <c r="A18" t="str">
        <f>'원시결과'!A22</f>
        <v>Q02</v>
      </c>
      <c r="B18" t="str">
        <f>'원시결과'!B22</f>
        <v>precision</v>
      </c>
      <c r="C18" t="str">
        <f>'원시결과'!C22</f>
        <v>modelopt-mixed-precision</v>
      </c>
      <c r="D18" t="str">
        <f>'원시결과'!D22</f>
        <v>mixed</v>
      </c>
      <c r="E18" t="str">
        <f>'원시결과'!H22</f>
        <v>완료</v>
      </c>
      <c r="F18" s="3">
        <f>IF('원시결과'!J22="","",'원시결과'!J22)</f>
        <v>0.5964751478628372</v>
      </c>
      <c r="G18" s="3">
        <f>IF('원시결과'!Q22="","",'원시결과'!Q22)</f>
        <v>0.48322281358260494</v>
      </c>
      <c r="H18" s="3">
        <f>IF('원시결과'!X22="","",'원시결과'!X22)</f>
        <v>0.650427116319593</v>
      </c>
      <c r="I18" s="6">
        <f>IF(F18="","",F18-INDEX(F$2:F$23,MATCH("B01",$A$2:$A$23,0)))</f>
        <v>-0.14138377930293133</v>
      </c>
      <c r="J18" s="6">
        <f>IF(G18="","",G18-INDEX(G$2:G$23,MATCH("B01",$A$2:$A$23,0)))</f>
        <v>-0.11941988230254558</v>
      </c>
      <c r="K18" s="6">
        <f>IF(H18="","",H18-INDEX(H$2:H$23,MATCH("B01",$A$2:$A$23,0)))</f>
        <v>-0.06157996538562627</v>
      </c>
      <c r="L18" s="4">
        <f>IF('원시결과'!Z22="","",'원시결과'!Z22)</f>
        <v>25.183493500662735</v>
      </c>
      <c r="M18" s="4">
        <f>IF('원시결과'!AA22="","",'원시결과'!AA22)</f>
        <v>27.59679680384579</v>
      </c>
      <c r="N18" s="4">
        <f>IF('원시결과'!AB22="","",'원시결과'!AB22)</f>
        <v>28.432948164772824</v>
      </c>
      <c r="O18" s="4">
        <f>IF('원시결과'!AH22="","",'원시결과'!AH22)</f>
        <v>39.31023155691929</v>
      </c>
      <c r="P18" s="7">
        <f>IF('원시결과'!AE22="","",'원시결과'!AE22)</f>
        <v>0.013184416494149125</v>
      </c>
      <c r="Q18" s="4">
        <f>IF('원시결과'!AF22="","",'원시결과'!AF22)</f>
        <v>24.479508428760838</v>
      </c>
      <c r="R18" s="4">
        <f>IF('원시결과'!AG22="","",'원시결과'!AG22)</f>
        <v>26.137443907225006</v>
      </c>
      <c r="S18" s="8">
        <f>IF('원시결과'!AI22="","",'원시결과'!AI22/1048576)</f>
        <v>897.943359375</v>
      </c>
      <c r="T18" s="8">
        <f>IF('원시결과'!AK22="","",'원시결과'!AK22/1048576)</f>
        <v>43.38985061645508</v>
      </c>
      <c r="U18" s="7">
        <f>IF(L18="","",(INDEX(L$2:L$23,MATCH("B01",$A$2:$A$23,0))-L18)/INDEX(L$2:L$23,MATCH("B01",$A$2:$A$23,0)))</f>
        <v>0.45038515383589717</v>
      </c>
      <c r="V18" s="4">
        <f>IF(L18="","",INDEX(L$2:L$23,MATCH("B01",$A$2:$A$23,0))/L18)</f>
        <v>1.8194559462489885</v>
      </c>
      <c r="W18" s="7">
        <f>IF(S18="","",(INDEX(S$2:S$23,MATCH("B01",$A$2:$A$23,0))-S18)/INDEX(S$2:S$23,MATCH("B01",$A$2:$A$23,0)))</f>
        <v>0.0</v>
      </c>
      <c r="X18" s="7">
        <f>IF(T18="","",(INDEX(T$2:T$23,MATCH("B01",$A$2:$A$23,0))-T18)/INDEX(T$2:T$23,MATCH("B01",$A$2:$A$23,0)))</f>
        <v>0.6645286185142193</v>
      </c>
      <c r="Y18" t="b">
        <v>1</v>
      </c>
      <c r="Z18" t="b">
        <f>AND(I18&gt;=-'평가기준'!$B$10,J18&gt;=-'평가기준'!$B$11,K18&gt;=-'평가기준'!$B$12)</f>
        <v>0</v>
      </c>
      <c r="AA18" t="b">
        <f>AND(Y18,Z18)</f>
        <v>0</v>
      </c>
      <c r="AB18" t="b">
        <v>0</v>
      </c>
      <c r="AC18" t="b">
        <f>P18&gt;'평가기준'!$B$9</f>
        <v>0</v>
      </c>
      <c r="AD18" t="b">
        <f>AND(Y18,M18&gt;'평가기준'!$B$14)</f>
        <v>0</v>
      </c>
      <c r="AE18" s="5" t="s">
        <v>303</v>
      </c>
      <c r="AF18" t="b">
        <f>AND(Y18,L18&lt;='평가기준'!$B$14)</f>
        <v>1</v>
      </c>
      <c r="AG18" t="b">
        <f>AND(AB18,AF18,NOT(AI18))</f>
        <v>0</v>
      </c>
      <c r="AH18" t="b">
        <v>0</v>
      </c>
      <c r="AI18" t="b">
        <v>0</v>
      </c>
    </row>
    <row r="19" spans="1:35">
      <c r="A19" t="str">
        <f>'원시결과'!A23</f>
        <v>Q03</v>
      </c>
      <c r="B19" t="str">
        <f>'원시결과'!B23</f>
        <v>precision</v>
      </c>
      <c r="C19" t="str">
        <f>'원시결과'!C23</f>
        <v>modelopt-int4-weight-only</v>
      </c>
      <c r="D19" t="str">
        <f>'원시결과'!D23</f>
        <v>int4</v>
      </c>
      <c r="E19" t="str">
        <f>'원시결과'!H23</f>
        <v>엔진 생성 실패</v>
      </c>
      <c r="F19" s="3">
        <f>IF('원시결과'!J23="","",'원시결과'!J23)</f>
        <v/>
      </c>
      <c r="G19" s="3">
        <f>IF('원시결과'!Q23="","",'원시결과'!Q23)</f>
        <v/>
      </c>
      <c r="H19" s="3">
        <f>IF('원시결과'!X23="","",'원시결과'!X23)</f>
        <v/>
      </c>
      <c r="I19" s="6">
        <f>IF(F19="","",F19-INDEX(F$2:F$23,MATCH("B01",$A$2:$A$23,0)))</f>
        <v/>
      </c>
      <c r="J19" s="6">
        <f>IF(G19="","",G19-INDEX(G$2:G$23,MATCH("B01",$A$2:$A$23,0)))</f>
        <v/>
      </c>
      <c r="K19" s="6">
        <f>IF(H19="","",H19-INDEX(H$2:H$23,MATCH("B01",$A$2:$A$23,0)))</f>
        <v/>
      </c>
      <c r="L19" s="4">
        <f>IF('원시결과'!Z23="","",'원시결과'!Z23)</f>
        <v/>
      </c>
      <c r="M19" s="4">
        <f>IF('원시결과'!AA23="","",'원시결과'!AA23)</f>
        <v/>
      </c>
      <c r="N19" s="4">
        <f>IF('원시결과'!AB23="","",'원시결과'!AB23)</f>
        <v/>
      </c>
      <c r="O19" s="4">
        <f>IF('원시결과'!AH23="","",'원시결과'!AH23)</f>
        <v/>
      </c>
      <c r="P19" s="7">
        <f>IF('원시결과'!AE23="","",'원시결과'!AE23)</f>
        <v/>
      </c>
      <c r="Q19" s="4">
        <f>IF('원시결과'!AF23="","",'원시결과'!AF23)</f>
        <v/>
      </c>
      <c r="R19" s="4">
        <f>IF('원시결과'!AG23="","",'원시결과'!AG23)</f>
        <v/>
      </c>
      <c r="S19" s="8">
        <f>IF('원시결과'!AI23="","",'원시결과'!AI23/1048576)</f>
        <v/>
      </c>
      <c r="T19" s="8">
        <f>IF('원시결과'!AK23="","",'원시결과'!AK23/1048576)</f>
        <v/>
      </c>
      <c r="U19" s="7">
        <f>IF(L19="","",(INDEX(L$2:L$23,MATCH("B01",$A$2:$A$23,0))-L19)/INDEX(L$2:L$23,MATCH("B01",$A$2:$A$23,0)))</f>
        <v/>
      </c>
      <c r="V19" s="4">
        <f>IF(L19="","",INDEX(L$2:L$23,MATCH("B01",$A$2:$A$23,0))/L19)</f>
        <v/>
      </c>
      <c r="W19" s="7">
        <f>IF(S19="","",(INDEX(S$2:S$23,MATCH("B01",$A$2:$A$23,0))-S19)/INDEX(S$2:S$23,MATCH("B01",$A$2:$A$23,0)))</f>
        <v/>
      </c>
      <c r="X19" s="7">
        <f>IF(T19="","",(INDEX(T$2:T$23,MATCH("B01",$A$2:$A$23,0))-T19)/INDEX(T$2:T$23,MATCH("B01",$A$2:$A$23,0)))</f>
        <v/>
      </c>
      <c r="Y19" t="b">
        <v>0</v>
      </c>
      <c r="Z19" t="b">
        <f>AND(I19&gt;=-'평가기준'!$B$10,J19&gt;=-'평가기준'!$B$11,K19&gt;=-'평가기준'!$B$12)</f>
        <v>0</v>
      </c>
      <c r="AA19" t="b">
        <f>AND(Y19,Z19)</f>
        <v>0</v>
      </c>
      <c r="AB19" t="b">
        <v>0</v>
      </c>
      <c r="AC19" t="b">
        <f>P19&gt;'평가기준'!$B$9</f>
        <v>0</v>
      </c>
      <c r="AD19" t="b">
        <f>AND(Y19,M19&gt;'평가기준'!$B$14)</f>
        <v>0</v>
      </c>
      <c r="AE19" s="5"/>
      <c r="AF19" t="b">
        <f>AND(Y19,L19&lt;='평가기준'!$B$14)</f>
        <v>0</v>
      </c>
      <c r="AG19" t="b">
        <f>AND(AB19,AF19,NOT(AI19))</f>
        <v>0</v>
      </c>
      <c r="AH19" t="b">
        <v>0</v>
      </c>
      <c r="AI19" t="b">
        <v>0</v>
      </c>
    </row>
    <row r="20" spans="1:35">
      <c r="A20" t="str">
        <f>'원시결과'!A24</f>
        <v>Q04</v>
      </c>
      <c r="B20" t="str">
        <f>'원시결과'!B24</f>
        <v>precision</v>
      </c>
      <c r="C20" t="str">
        <f>'원시결과'!C24</f>
        <v>modelopt-fp8</v>
      </c>
      <c r="D20" t="str">
        <f>'원시결과'!D24</f>
        <v>fp8</v>
      </c>
      <c r="E20" t="str">
        <f>'원시결과'!H24</f>
        <v>완료</v>
      </c>
      <c r="F20" s="3">
        <f>IF('원시결과'!J24="","",'원시결과'!J24)</f>
        <v>0.0035799375583286386</v>
      </c>
      <c r="G20" s="3">
        <f>IF('원시결과'!Q24="","",'원시결과'!Q24)</f>
        <v>0.3702262102000943</v>
      </c>
      <c r="H20" s="3">
        <f>IF('원시결과'!X24="","",'원시결과'!X24)</f>
        <v>0.4530970899244638</v>
      </c>
      <c r="I20" s="6">
        <f>IF(F20="","",F20-INDEX(F$2:F$23,MATCH("B01",$A$2:$A$23,0)))</f>
        <v>-0.7342789896074399</v>
      </c>
      <c r="J20" s="6">
        <f>IF(G20="","",G20-INDEX(G$2:G$23,MATCH("B01",$A$2:$A$23,0)))</f>
        <v>-0.23241648568505624</v>
      </c>
      <c r="K20" s="6">
        <f>IF(H20="","",H20-INDEX(H$2:H$23,MATCH("B01",$A$2:$A$23,0)))</f>
        <v>-0.2589099917807555</v>
      </c>
      <c r="L20" s="4">
        <f>IF('원시결과'!Z24="","",'원시결과'!Z24)</f>
        <v>37.99387800245313</v>
      </c>
      <c r="M20" s="4">
        <f>IF('원시결과'!AA24="","",'원시결과'!AA24)</f>
        <v>40.58728890195198</v>
      </c>
      <c r="N20" s="4">
        <f>IF('원시결과'!AB24="","",'원시결과'!AB24)</f>
        <v>41.89420311253343</v>
      </c>
      <c r="O20" s="4">
        <f>IF('원시결과'!AH24="","",'원시결과'!AH24)</f>
        <v>26.09719079591776</v>
      </c>
      <c r="P20" s="7">
        <f>IF('원시결과'!AE24="","",'원시결과'!AE24)</f>
        <v>0.005785330737058208</v>
      </c>
      <c r="Q20" s="4">
        <f>IF('원시결과'!AF24="","",'원시결과'!AF24)</f>
        <v>37.49497810702479</v>
      </c>
      <c r="R20" s="4">
        <f>IF('원시결과'!AG24="","",'원시결과'!AG24)</f>
        <v>38.58850456295205</v>
      </c>
      <c r="S20" s="8">
        <f>IF('원시결과'!AI24="","",'원시결과'!AI24/1048576)</f>
        <v>897.943359375</v>
      </c>
      <c r="T20" s="8">
        <f>IF('원시결과'!AK24="","",'원시결과'!AK24/1048576)</f>
        <v>48.07638931274414</v>
      </c>
      <c r="U20" s="7">
        <f>IF(L20="","",(INDEX(L$2:L$23,MATCH("B01",$A$2:$A$23,0))-L20)/INDEX(L$2:L$23,MATCH("B01",$A$2:$A$23,0)))</f>
        <v>0.17080609118244727</v>
      </c>
      <c r="V20" s="4">
        <f>IF(L20="","",INDEX(L$2:L$23,MATCH("B01",$A$2:$A$23,0))/L20)</f>
        <v>1.2059905281094265</v>
      </c>
      <c r="W20" s="7">
        <f>IF(S20="","",(INDEX(S$2:S$23,MATCH("B01",$A$2:$A$23,0))-S20)/INDEX(S$2:S$23,MATCH("B01",$A$2:$A$23,0)))</f>
        <v>0.0</v>
      </c>
      <c r="X20" s="7">
        <f>IF(T20="","",(INDEX(T$2:T$23,MATCH("B01",$A$2:$A$23,0))-T20)/INDEX(T$2:T$23,MATCH("B01",$A$2:$A$23,0)))</f>
        <v>0.6282943474002639</v>
      </c>
      <c r="Y20" t="b">
        <v>1</v>
      </c>
      <c r="Z20" t="b">
        <f>AND(I20&gt;=-'평가기준'!$B$10,J20&gt;=-'평가기준'!$B$11,K20&gt;=-'평가기준'!$B$12)</f>
        <v>0</v>
      </c>
      <c r="AA20" t="b">
        <f>AND(Y20,Z20)</f>
        <v>0</v>
      </c>
      <c r="AB20" t="b">
        <v>0</v>
      </c>
      <c r="AC20" t="b">
        <f>P20&gt;'평가기준'!$B$9</f>
        <v>0</v>
      </c>
      <c r="AD20" t="b">
        <f>AND(Y20,M20&gt;'평가기준'!$B$14)</f>
        <v>1</v>
      </c>
      <c r="AE20" s="5" t="s">
        <v>303</v>
      </c>
      <c r="AF20" t="b">
        <f>AND(Y20,L20&lt;='평가기준'!$B$14)</f>
        <v>0</v>
      </c>
      <c r="AG20" t="b">
        <f>AND(AB20,AF20,NOT(AI20))</f>
        <v>0</v>
      </c>
      <c r="AH20" t="b">
        <v>0</v>
      </c>
      <c r="AI20" t="b">
        <v>0</v>
      </c>
    </row>
    <row r="21" spans="1:35">
      <c r="A21" t="str">
        <f>'원시결과'!A25</f>
        <v>Q05</v>
      </c>
      <c r="B21" t="str">
        <f>'원시결과'!B25</f>
        <v>precision</v>
      </c>
      <c r="C21" t="str">
        <f>'원시결과'!C25</f>
        <v>modelopt-fp8-mixed</v>
      </c>
      <c r="D21" t="str">
        <f>'원시결과'!D25</f>
        <v>mixed</v>
      </c>
      <c r="E21" t="str">
        <f>'원시결과'!H25</f>
        <v>완료</v>
      </c>
      <c r="F21" s="3">
        <f>IF('원시결과'!J25="","",'원시결과'!J25)</f>
        <v>0.7358042388753677</v>
      </c>
      <c r="G21" s="3">
        <f>IF('원시결과'!Q25="","",'원시결과'!Q25)</f>
        <v>0.5980977119052601</v>
      </c>
      <c r="H21" s="3">
        <f>IF('원시결과'!X25="","",'원시결과'!X25)</f>
        <v>0.7101511148106762</v>
      </c>
      <c r="I21" s="6">
        <f>IF(F21="","",F21-INDEX(F$2:F$23,MATCH("B01",$A$2:$A$23,0)))</f>
        <v>-0.0020546882904007857</v>
      </c>
      <c r="J21" s="6">
        <f>IF(G21="","",G21-INDEX(G$2:G$23,MATCH("B01",$A$2:$A$23,0)))</f>
        <v>-0.004544983979890449</v>
      </c>
      <c r="K21" s="6">
        <f>IF(H21="","",H21-INDEX(H$2:H$23,MATCH("B01",$A$2:$A$23,0)))</f>
        <v>-0.0018559668945431484</v>
      </c>
      <c r="L21" s="4">
        <f>IF('원시결과'!Z25="","",'원시결과'!Z25)</f>
        <v>43.33256249810802</v>
      </c>
      <c r="M21" s="4">
        <f>IF('원시결과'!AA25="","",'원시결과'!AA25)</f>
        <v>45.66807684714149</v>
      </c>
      <c r="N21" s="4">
        <f>IF('원시결과'!AB25="","",'원시결과'!AB25)</f>
        <v>46.64238819001184</v>
      </c>
      <c r="O21" s="4">
        <f>IF('원시결과'!AH25="","",'원시결과'!AH25)</f>
        <v>22.974608036222833</v>
      </c>
      <c r="P21" s="7">
        <f>IF('원시결과'!AE25="","",'원시결과'!AE25)</f>
        <v>0.01058008836275545</v>
      </c>
      <c r="Q21" s="4">
        <f>IF('원시결과'!AF25="","",'원시결과'!AF25)</f>
        <v>42.15639998589338</v>
      </c>
      <c r="R21" s="4">
        <f>IF('원시결과'!AG25="","",'원시결과'!AG25)</f>
        <v>44.432343348490484</v>
      </c>
      <c r="S21" s="8">
        <f>IF('원시결과'!AI25="","",'원시결과'!AI25/1048576)</f>
        <v>897.943359375</v>
      </c>
      <c r="T21" s="8">
        <f>IF('원시결과'!AK25="","",'원시결과'!AK25/1048576)</f>
        <v>111.8322868347168</v>
      </c>
      <c r="U21" s="7">
        <f>IF(L21="","",(INDEX(L$2:L$23,MATCH("B01",$A$2:$A$23,0))-L21)/INDEX(L$2:L$23,MATCH("B01",$A$2:$A$23,0)))</f>
        <v>0.05429246062833751</v>
      </c>
      <c r="V21" s="4">
        <f>IF(L21="","",INDEX(L$2:L$23,MATCH("B01",$A$2:$A$23,0))/L21)</f>
        <v>1.0574093558188296</v>
      </c>
      <c r="W21" s="7">
        <f>IF(S21="","",(INDEX(S$2:S$23,MATCH("B01",$A$2:$A$23,0))-S21)/INDEX(S$2:S$23,MATCH("B01",$A$2:$A$23,0)))</f>
        <v>0.0</v>
      </c>
      <c r="X21" s="7">
        <f>IF(T21="","",(INDEX(T$2:T$23,MATCH("B01",$A$2:$A$23,0))-T21)/INDEX(T$2:T$23,MATCH("B01",$A$2:$A$23,0)))</f>
        <v>0.1353615828092104</v>
      </c>
      <c r="Y21" t="b">
        <v>1</v>
      </c>
      <c r="Z21" t="b">
        <f>AND(I21&gt;=-'평가기준'!$B$10,J21&gt;=-'평가기준'!$B$11,K21&gt;=-'평가기준'!$B$12)</f>
        <v>1</v>
      </c>
      <c r="AA21" t="b">
        <f>AND(Y21,Z21)</f>
        <v>1</v>
      </c>
      <c r="AB21" t="b">
        <v>0</v>
      </c>
      <c r="AC21" t="b">
        <f>P21&gt;'평가기준'!$B$9</f>
        <v>0</v>
      </c>
      <c r="AD21" t="b">
        <f>AND(Y21,M21&gt;'평가기준'!$B$14)</f>
        <v>1</v>
      </c>
      <c r="AE21" s="5"/>
      <c r="AF21" t="b">
        <f>AND(Y21,L21&lt;='평가기준'!$B$14)</f>
        <v>0</v>
      </c>
      <c r="AG21" t="b">
        <f>AND(AB21,AF21,NOT(AI21))</f>
        <v>0</v>
      </c>
      <c r="AH21" t="b">
        <v>0</v>
      </c>
      <c r="AI21" t="b">
        <v>0</v>
      </c>
    </row>
    <row r="22" spans="1:35">
      <c r="A22" t="str">
        <f>'원시결과'!A26</f>
        <v>Q06</v>
      </c>
      <c r="B22" t="str">
        <f>'원시결과'!B26</f>
        <v>precision</v>
      </c>
      <c r="C22" t="str">
        <f>'원시결과'!C26</f>
        <v>modelopt-fp8-mixed-kld</v>
      </c>
      <c r="D22" t="str">
        <f>'원시결과'!D26</f>
        <v>mixed</v>
      </c>
      <c r="E22" t="str">
        <f>'원시결과'!H26</f>
        <v>완료</v>
      </c>
      <c r="F22" s="3">
        <f>IF('원시결과'!J26="","",'원시결과'!J26)</f>
        <v>0.004075750906385281</v>
      </c>
      <c r="G22" s="3">
        <f>IF('원시결과'!Q26="","",'원시결과'!Q26)</f>
        <v>0.3540556583177658</v>
      </c>
      <c r="H22" s="3">
        <f>IF('원시결과'!X26="","",'원시결과'!X26)</f>
        <v>0.4565858431052821</v>
      </c>
      <c r="I22" s="6">
        <f>IF(F22="","",F22-INDEX(F$2:F$23,MATCH("B01",$A$2:$A$23,0)))</f>
        <v>-0.7337831762593833</v>
      </c>
      <c r="J22" s="6">
        <f>IF(G22="","",G22-INDEX(G$2:G$23,MATCH("B01",$A$2:$A$23,0)))</f>
        <v>-0.2485870375673847</v>
      </c>
      <c r="K22" s="6">
        <f>IF(H22="","",H22-INDEX(H$2:H$23,MATCH("B01",$A$2:$A$23,0)))</f>
        <v>-0.2554212385999372</v>
      </c>
      <c r="L22" s="4">
        <f>IF('원시결과'!Z26="","",'원시결과'!Z26)</f>
        <v>39.408903001458384</v>
      </c>
      <c r="M22" s="4">
        <f>IF('원시결과'!AA26="","",'원시결과'!AA26)</f>
        <v>41.529231199092465</v>
      </c>
      <c r="N22" s="4">
        <f>IF('원시결과'!AB26="","",'원시결과'!AB26)</f>
        <v>43.24338190665002</v>
      </c>
      <c r="O22" s="4">
        <f>IF('원시결과'!AH26="","",'원시결과'!AH26)</f>
        <v>25.222507324464583</v>
      </c>
      <c r="P22" s="7">
        <f>IF('원시결과'!AE26="","",'원시결과'!AE26)</f>
        <v>0.0023100932186816098</v>
      </c>
      <c r="Q22" s="4">
        <f>IF('원시결과'!AF26="","",'원시결과'!AF26)</f>
        <v>39.192264208870036</v>
      </c>
      <c r="R22" s="4">
        <f>IF('원시결과'!AG26="","",'원시결과'!AG26)</f>
        <v>39.64471379199032</v>
      </c>
      <c r="S22" s="8">
        <f>IF('원시결과'!AI26="","",'원시결과'!AI26/1048576)</f>
        <v>897.943359375</v>
      </c>
      <c r="T22" s="8">
        <f>IF('원시결과'!AK26="","",'원시결과'!AK26/1048576)</f>
        <v>64.76676559448242</v>
      </c>
      <c r="U22" s="7">
        <f>IF(L22="","",(INDEX(L$2:L$23,MATCH("B01",$A$2:$A$23,0))-L22)/INDEX(L$2:L$23,MATCH("B01",$A$2:$A$23,0)))</f>
        <v>0.13992400776037694</v>
      </c>
      <c r="V22" s="4">
        <f>IF(L22="","",INDEX(L$2:L$23,MATCH("B01",$A$2:$A$23,0))/L22)</f>
        <v>1.1626879589976895</v>
      </c>
      <c r="W22" s="7">
        <f>IF(S22="","",(INDEX(S$2:S$23,MATCH("B01",$A$2:$A$23,0))-S22)/INDEX(S$2:S$23,MATCH("B01",$A$2:$A$23,0)))</f>
        <v>0.0</v>
      </c>
      <c r="X22" s="7">
        <f>IF(T22="","",(INDEX(T$2:T$23,MATCH("B01",$A$2:$A$23,0))-T22)/INDEX(T$2:T$23,MATCH("B01",$A$2:$A$23,0)))</f>
        <v>0.49925164480499745</v>
      </c>
      <c r="Y22" t="b">
        <v>1</v>
      </c>
      <c r="Z22" t="b">
        <f>AND(I22&gt;=-'평가기준'!$B$10,J22&gt;=-'평가기준'!$B$11,K22&gt;=-'평가기준'!$B$12)</f>
        <v>0</v>
      </c>
      <c r="AA22" t="b">
        <f>AND(Y22,Z22)</f>
        <v>0</v>
      </c>
      <c r="AB22" t="b">
        <v>0</v>
      </c>
      <c r="AC22" t="b">
        <f>P22&gt;'평가기준'!$B$9</f>
        <v>0</v>
      </c>
      <c r="AD22" t="b">
        <f>AND(Y22,M22&gt;'평가기준'!$B$14)</f>
        <v>1</v>
      </c>
      <c r="AE22" s="5" t="s">
        <v>303</v>
      </c>
      <c r="AF22" t="b">
        <f>AND(Y22,L22&lt;='평가기준'!$B$14)</f>
        <v>0</v>
      </c>
      <c r="AG22" t="b">
        <f>AND(AB22,AF22,NOT(AI22))</f>
        <v>0</v>
      </c>
      <c r="AH22" t="b">
        <v>0</v>
      </c>
      <c r="AI22" t="b">
        <v>0</v>
      </c>
    </row>
    <row r="23" spans="1:35">
      <c r="A23" t="str">
        <f>'원시결과'!A27</f>
        <v>Q07</v>
      </c>
      <c r="B23" t="str">
        <f>'원시결과'!B27</f>
        <v>precision</v>
      </c>
      <c r="C23" t="str">
        <f>'원시결과'!C27</f>
        <v>modelopt-fp8-mixed</v>
      </c>
      <c r="D23" t="str">
        <f>'원시결과'!D27</f>
        <v>mixed</v>
      </c>
      <c r="E23" t="str">
        <f>'원시결과'!H27</f>
        <v>완료</v>
      </c>
      <c r="F23" s="3">
        <f>IF('원시결과'!J27="","",'원시결과'!J27)</f>
        <v>0.028162096240612153</v>
      </c>
      <c r="G23" s="3">
        <f>IF('원시결과'!Q27="","",'원시결과'!Q27)</f>
        <v>0.3579247452931818</v>
      </c>
      <c r="H23" s="3">
        <f>IF('원시결과'!X27="","",'원시결과'!X27)</f>
        <v>0.42892598576533364</v>
      </c>
      <c r="I23" s="6">
        <f>IF(F23="","",F23-INDEX(F$2:F$23,MATCH("B01",$A$2:$A$23,0)))</f>
        <v>-0.7096968309251563</v>
      </c>
      <c r="J23" s="6">
        <f>IF(G23="","",G23-INDEX(G$2:G$23,MATCH("B01",$A$2:$A$23,0)))</f>
        <v>-0.2447179505919687</v>
      </c>
      <c r="K23" s="6">
        <f>IF(H23="","",H23-INDEX(H$2:H$23,MATCH("B01",$A$2:$A$23,0)))</f>
        <v>-0.2830810959398857</v>
      </c>
      <c r="L23" s="4">
        <f>IF('원시결과'!Z27="","",'원시결과'!Z27)</f>
        <v>38.29855150252115</v>
      </c>
      <c r="M23" s="4">
        <f>IF('원시결과'!AA27="","",'원시결과'!AA27)</f>
        <v>40.82614890357945</v>
      </c>
      <c r="N23" s="4">
        <f>IF('원시결과'!AB27="","",'원시결과'!AB27)</f>
        <v>41.82187388847524</v>
      </c>
      <c r="O23" s="4">
        <f>IF('원시결과'!AH27="","",'원시결과'!AH27)</f>
        <v>25.90828595063213</v>
      </c>
      <c r="P23" s="7">
        <f>IF('원시결과'!AE27="","",'원시결과'!AE27)</f>
        <v>0.008880378632809048</v>
      </c>
      <c r="Q23" s="4">
        <f>IF('원시결과'!AF27="","",'원시결과'!AF27)</f>
        <v>37.53411956583137</v>
      </c>
      <c r="R23" s="4">
        <f>IF('원시결과'!AG27="","",'원시결과'!AG27)</f>
        <v>39.22762676941942</v>
      </c>
      <c r="S23" s="8">
        <f>IF('원시결과'!AI27="","",'원시결과'!AI27/1048576)</f>
        <v>897.943359375</v>
      </c>
      <c r="T23" s="8">
        <f>IF('원시결과'!AK27="","",'원시결과'!AK27/1048576)</f>
        <v>52.98740005493164</v>
      </c>
      <c r="U23" s="7">
        <f>IF(L23="","",(INDEX(L$2:L$23,MATCH("B01",$A$2:$A$23,0))-L23)/INDEX(L$2:L$23,MATCH("B01",$A$2:$A$23,0)))</f>
        <v>0.16415677229959424</v>
      </c>
      <c r="V23" s="4">
        <f>IF(L23="","",INDEX(L$2:L$23,MATCH("B01",$A$2:$A$23,0))/L23)</f>
        <v>1.1963966050801498</v>
      </c>
      <c r="W23" s="7">
        <f>IF(S23="","",(INDEX(S$2:S$23,MATCH("B01",$A$2:$A$23,0))-S23)/INDEX(S$2:S$23,MATCH("B01",$A$2:$A$23,0)))</f>
        <v>0.0</v>
      </c>
      <c r="X23" s="7">
        <f>IF(T23="","",(INDEX(T$2:T$23,MATCH("B01",$A$2:$A$23,0))-T23)/INDEX(T$2:T$23,MATCH("B01",$A$2:$A$23,0)))</f>
        <v>0.5903245564291847</v>
      </c>
      <c r="Y23" t="b">
        <v>1</v>
      </c>
      <c r="Z23" t="b">
        <f>AND(I23&gt;=-'평가기준'!$B$10,J23&gt;=-'평가기준'!$B$11,K23&gt;=-'평가기준'!$B$12)</f>
        <v>0</v>
      </c>
      <c r="AA23" t="b">
        <f>AND(Y23,Z23)</f>
        <v>0</v>
      </c>
      <c r="AB23" t="b">
        <v>0</v>
      </c>
      <c r="AC23" t="b">
        <f>P23&gt;'평가기준'!$B$9</f>
        <v>0</v>
      </c>
      <c r="AD23" t="b">
        <f>AND(Y23,M23&gt;'평가기준'!$B$14)</f>
        <v>1</v>
      </c>
      <c r="AE23" s="5" t="s">
        <v>303</v>
      </c>
      <c r="AF23" t="b">
        <f>AND(Y23,L23&lt;='평가기준'!$B$14)</f>
        <v>0</v>
      </c>
      <c r="AG23" t="b">
        <f>AND(AB23,AF23,NOT(AI23))</f>
        <v>0</v>
      </c>
      <c r="AH23" t="b">
        <v>0</v>
      </c>
      <c r="AI23" t="b">
        <v>0</v>
      </c>
    </row>
  </sheetData>
  <conditionalFormatting sqref="AA2:AA23">
    <cfRule type="cellIs" dxfId="2" priority="5" operator="equal">
      <formula>TRUE</formula>
    </cfRule>
  </conditionalFormatting>
  <conditionalFormatting sqref="AB2:AB23">
    <cfRule type="cellIs" dxfId="2" priority="6" operator="equal">
      <formula>TRUE</formula>
    </cfRule>
  </conditionalFormatting>
  <conditionalFormatting sqref="AC2:AC23">
    <cfRule type="cellIs" dxfId="3" priority="9" operator="equal">
      <formula>TRUE</formula>
    </cfRule>
  </conditionalFormatting>
  <conditionalFormatting sqref="AD2:AD23">
    <cfRule type="cellIs" dxfId="3" priority="10" operator="equal">
      <formula>TRUE</formula>
    </cfRule>
  </conditionalFormatting>
  <conditionalFormatting sqref="AF2:AF23">
    <cfRule type="cellIs" dxfId="2" priority="7" operator="equal">
      <formula>TRUE</formula>
    </cfRule>
  </conditionalFormatting>
  <conditionalFormatting sqref="AG2:AG23">
    <cfRule type="cellIs" dxfId="2" priority="8" operator="equal">
      <formula>TRUE</formula>
    </cfRule>
  </conditionalFormatting>
  <conditionalFormatting sqref="AH2:AH23">
    <cfRule type="cellIs" dxfId="3" priority="11" operator="equal">
      <formula>TRUE</formula>
    </cfRule>
  </conditionalFormatting>
  <conditionalFormatting sqref="AI2:AI23">
    <cfRule type="cellIs" dxfId="1" priority="12" operator="equal">
      <formula>TRUE</formula>
    </cfRule>
  </conditionalFormatting>
  <conditionalFormatting sqref="E2:E23">
    <cfRule type="containsText" dxfId="0" priority="1" operator="containsText" text="완료">
      <formula>NOT(ISERROR(SEARCH("완료",E2)))</formula>
    </cfRule>
    <cfRule type="containsText" dxfId="1" priority="2" operator="containsText" text="실패">
      <formula>NOT(ISERROR(SEARCH("실패",E2)))</formula>
    </cfRule>
  </conditionalFormatting>
  <conditionalFormatting sqref="Y2:Y23">
    <cfRule type="cellIs" dxfId="2" priority="3" operator="equal">
      <formula>TRUE</formula>
    </cfRule>
  </conditionalFormatting>
  <conditionalFormatting sqref="Z2:Z23">
    <cfRule type="cellIs" dxfId="2" priority="4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5" width="64.7109375" style="5" customWidth="1"/>
  </cols>
  <sheetData>
    <row r="1" spans="1:5" s="1" customFormat="1" ht="36" customHeight="1">
      <c r="A1" s="1" t="s">
        <v>60</v>
      </c>
      <c r="B1" s="1" t="s">
        <v>304</v>
      </c>
      <c r="C1" s="1" t="s">
        <v>305</v>
      </c>
      <c r="D1" s="1" t="s">
        <v>306</v>
      </c>
      <c r="E1" s="1" t="s">
        <v>307</v>
      </c>
    </row>
    <row r="2" spans="1:5">
      <c r="A2" t="s">
        <v>139</v>
      </c>
      <c r="B2" t="s">
        <v>308</v>
      </c>
      <c r="C2" t="s">
        <v>142</v>
      </c>
      <c r="D2" s="5" t="s">
        <v>143</v>
      </c>
      <c r="E2" s="5" t="s">
        <v>309</v>
      </c>
    </row>
    <row r="3" spans="1:5">
      <c r="A3" t="s">
        <v>145</v>
      </c>
      <c r="B3" t="s">
        <v>308</v>
      </c>
      <c r="C3" t="s">
        <v>142</v>
      </c>
      <c r="D3" s="5" t="s">
        <v>143</v>
      </c>
      <c r="E3" s="5" t="s">
        <v>309</v>
      </c>
    </row>
    <row r="4" spans="1:5">
      <c r="A4" t="s">
        <v>146</v>
      </c>
      <c r="B4" t="s">
        <v>308</v>
      </c>
      <c r="C4" t="s">
        <v>142</v>
      </c>
      <c r="D4" s="5" t="s">
        <v>143</v>
      </c>
      <c r="E4" s="5" t="s">
        <v>309</v>
      </c>
    </row>
    <row r="5" spans="1:5">
      <c r="A5" t="s">
        <v>175</v>
      </c>
      <c r="B5" t="s">
        <v>308</v>
      </c>
      <c r="C5" t="s">
        <v>142</v>
      </c>
      <c r="D5" s="5" t="s">
        <v>143</v>
      </c>
      <c r="E5" s="5" t="s">
        <v>309</v>
      </c>
    </row>
    <row r="6" spans="1:5">
      <c r="A6" t="s">
        <v>248</v>
      </c>
      <c r="B6" t="s">
        <v>310</v>
      </c>
      <c r="C6" t="s">
        <v>251</v>
      </c>
      <c r="D6" s="5" t="s">
        <v>252</v>
      </c>
      <c r="E6" s="5" t="s">
        <v>311</v>
      </c>
    </row>
    <row r="7" spans="1:5">
      <c r="A7" t="s">
        <v>109</v>
      </c>
      <c r="B7" t="s">
        <v>312</v>
      </c>
      <c r="C7" t="s">
        <v>313</v>
      </c>
      <c r="D7" s="5" t="s">
        <v>314</v>
      </c>
      <c r="E7" s="5" t="s">
        <v>315</v>
      </c>
    </row>
    <row r="8" spans="1:5">
      <c r="A8" t="s">
        <v>147</v>
      </c>
      <c r="B8" t="s">
        <v>316</v>
      </c>
      <c r="C8" t="s">
        <v>317</v>
      </c>
      <c r="D8" s="5" t="s">
        <v>303</v>
      </c>
      <c r="E8" s="5" t="s">
        <v>318</v>
      </c>
    </row>
    <row r="9" spans="1:5">
      <c r="A9" t="s">
        <v>155</v>
      </c>
      <c r="B9" t="s">
        <v>316</v>
      </c>
      <c r="C9" t="s">
        <v>317</v>
      </c>
      <c r="D9" s="5" t="s">
        <v>303</v>
      </c>
      <c r="E9" s="5" t="s">
        <v>318</v>
      </c>
    </row>
    <row r="10" spans="1:5">
      <c r="A10" t="s">
        <v>161</v>
      </c>
      <c r="B10" t="s">
        <v>312</v>
      </c>
      <c r="C10" t="s">
        <v>313</v>
      </c>
      <c r="D10" s="5" t="s">
        <v>314</v>
      </c>
      <c r="E10" s="5" t="s">
        <v>315</v>
      </c>
    </row>
    <row r="11" spans="1:5">
      <c r="A11" t="s">
        <v>169</v>
      </c>
      <c r="B11" t="s">
        <v>316</v>
      </c>
      <c r="C11" t="s">
        <v>317</v>
      </c>
      <c r="D11" s="5" t="s">
        <v>303</v>
      </c>
      <c r="E11" s="5" t="s">
        <v>318</v>
      </c>
    </row>
    <row r="12" spans="1:5">
      <c r="A12" t="s">
        <v>177</v>
      </c>
      <c r="B12" t="s">
        <v>316</v>
      </c>
      <c r="C12" t="s">
        <v>317</v>
      </c>
      <c r="D12" s="5" t="s">
        <v>303</v>
      </c>
      <c r="E12" s="5" t="s">
        <v>318</v>
      </c>
    </row>
    <row r="13" spans="1:5">
      <c r="A13" t="s">
        <v>197</v>
      </c>
      <c r="B13" t="s">
        <v>312</v>
      </c>
      <c r="C13" t="s">
        <v>313</v>
      </c>
      <c r="D13" s="5" t="s">
        <v>314</v>
      </c>
      <c r="E13" s="5" t="s">
        <v>315</v>
      </c>
    </row>
    <row r="14" spans="1:5">
      <c r="A14" t="s">
        <v>205</v>
      </c>
      <c r="B14" t="s">
        <v>312</v>
      </c>
      <c r="C14" t="s">
        <v>313</v>
      </c>
      <c r="D14" s="5" t="s">
        <v>314</v>
      </c>
      <c r="E14" s="5" t="s">
        <v>315</v>
      </c>
    </row>
    <row r="15" spans="1:5">
      <c r="A15" t="s">
        <v>220</v>
      </c>
      <c r="B15" t="s">
        <v>312</v>
      </c>
      <c r="C15" t="s">
        <v>313</v>
      </c>
      <c r="D15" s="5" t="s">
        <v>314</v>
      </c>
      <c r="E15" s="5" t="s">
        <v>315</v>
      </c>
    </row>
    <row r="16" spans="1:5">
      <c r="A16" t="s">
        <v>226</v>
      </c>
      <c r="B16" t="s">
        <v>316</v>
      </c>
      <c r="C16" t="s">
        <v>317</v>
      </c>
      <c r="D16" s="5" t="s">
        <v>303</v>
      </c>
      <c r="E16" s="5" t="s">
        <v>318</v>
      </c>
    </row>
    <row r="17" spans="1:5">
      <c r="A17" t="s">
        <v>233</v>
      </c>
      <c r="B17" t="s">
        <v>316</v>
      </c>
      <c r="C17" t="s">
        <v>317</v>
      </c>
      <c r="D17" s="5" t="s">
        <v>303</v>
      </c>
      <c r="E17" s="5" t="s">
        <v>318</v>
      </c>
    </row>
    <row r="18" spans="1:5">
      <c r="A18" t="s">
        <v>240</v>
      </c>
      <c r="B18" t="s">
        <v>316</v>
      </c>
      <c r="C18" t="s">
        <v>317</v>
      </c>
      <c r="D18" s="5" t="s">
        <v>303</v>
      </c>
      <c r="E18" s="5" t="s">
        <v>318</v>
      </c>
    </row>
    <row r="19" spans="1:5">
      <c r="A19" t="s">
        <v>253</v>
      </c>
      <c r="B19" t="s">
        <v>316</v>
      </c>
      <c r="C19" t="s">
        <v>317</v>
      </c>
      <c r="D19" s="5" t="s">
        <v>303</v>
      </c>
      <c r="E19" s="5" t="s">
        <v>318</v>
      </c>
    </row>
    <row r="20" spans="1:5">
      <c r="A20" t="s">
        <v>261</v>
      </c>
      <c r="B20" t="s">
        <v>312</v>
      </c>
      <c r="C20" t="s">
        <v>313</v>
      </c>
      <c r="D20" s="5" t="s">
        <v>314</v>
      </c>
      <c r="E20" s="5" t="s">
        <v>315</v>
      </c>
    </row>
    <row r="21" spans="1:5">
      <c r="A21" t="s">
        <v>268</v>
      </c>
      <c r="B21" t="s">
        <v>316</v>
      </c>
      <c r="C21" t="s">
        <v>317</v>
      </c>
      <c r="D21" s="5" t="s">
        <v>303</v>
      </c>
      <c r="E21" s="5" t="s">
        <v>318</v>
      </c>
    </row>
    <row r="22" spans="1:5">
      <c r="A22" t="s">
        <v>275</v>
      </c>
      <c r="B22" t="s">
        <v>316</v>
      </c>
      <c r="C22" t="s">
        <v>317</v>
      </c>
      <c r="D22" s="5" t="s">
        <v>303</v>
      </c>
      <c r="E22" s="5" t="s">
        <v>318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8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6.7109375" customWidth="1"/>
    <col min="4" max="12" width="14.7109375" style="3" customWidth="1"/>
  </cols>
  <sheetData>
    <row r="1" spans="1:12" s="1" customFormat="1" ht="36" customHeight="1">
      <c r="A1" s="1" t="s">
        <v>60</v>
      </c>
      <c r="B1" s="1" t="s">
        <v>319</v>
      </c>
      <c r="C1" s="1" t="s">
        <v>320</v>
      </c>
      <c r="D1" s="1" t="s">
        <v>69</v>
      </c>
      <c r="E1" s="1" t="s">
        <v>70</v>
      </c>
      <c r="F1" s="1" t="s">
        <v>71</v>
      </c>
      <c r="G1" s="1" t="s">
        <v>75</v>
      </c>
      <c r="H1" s="1" t="s">
        <v>36</v>
      </c>
      <c r="I1" s="1" t="s">
        <v>76</v>
      </c>
      <c r="J1" s="1" t="s">
        <v>77</v>
      </c>
      <c r="K1" s="1" t="s">
        <v>81</v>
      </c>
      <c r="L1" s="1" t="s">
        <v>321</v>
      </c>
    </row>
    <row r="2" spans="1:12">
      <c r="A2" t="s">
        <v>109</v>
      </c>
      <c r="B2">
        <v>0</v>
      </c>
      <c r="C2" t="s">
        <v>322</v>
      </c>
    </row>
    <row r="3" spans="1:12">
      <c r="A3" t="s">
        <v>109</v>
      </c>
      <c r="B3">
        <v>1</v>
      </c>
      <c r="C3" t="s">
        <v>323</v>
      </c>
      <c r="D3" s="3">
        <v>0.5061162970151106</v>
      </c>
      <c r="E3" s="3">
        <v>0.8315517397772624</v>
      </c>
      <c r="F3" s="3">
        <v>0.5103551172075326</v>
      </c>
      <c r="G3" s="3">
        <v>0.7836575875486381</v>
      </c>
      <c r="H3" s="3">
        <v>0.2039770501736571</v>
      </c>
      <c r="I3" s="3">
        <v>0.5682435606369498</v>
      </c>
      <c r="J3" s="3">
        <v>0.1092618820399215</v>
      </c>
      <c r="K3" s="3">
        <v>0.4494163424124514</v>
      </c>
      <c r="L3" s="3">
        <v>0.4589428216949776</v>
      </c>
    </row>
    <row r="4" spans="1:12">
      <c r="A4" t="s">
        <v>109</v>
      </c>
      <c r="B4">
        <v>2</v>
      </c>
      <c r="C4" t="s">
        <v>324</v>
      </c>
      <c r="D4" s="3">
        <v>0.8489291208947134</v>
      </c>
      <c r="E4" s="3">
        <v>0.9563027547541514</v>
      </c>
      <c r="F4" s="3">
        <v>0.8974323916104113</v>
      </c>
      <c r="G4" s="3">
        <v>0.9463276836158194</v>
      </c>
      <c r="H4" s="3">
        <v>0.8085574179460446</v>
      </c>
      <c r="I4" s="3">
        <v>0.958061142997791</v>
      </c>
      <c r="J4" s="3">
        <v>0.8897651733618007</v>
      </c>
      <c r="K4" s="3">
        <v>0.8898305084745763</v>
      </c>
      <c r="L4" s="3">
        <v>0.7920429117509471</v>
      </c>
    </row>
    <row r="5" spans="1:12">
      <c r="A5" t="s">
        <v>109</v>
      </c>
      <c r="B5">
        <v>3</v>
      </c>
      <c r="C5" t="s">
        <v>325</v>
      </c>
      <c r="D5" s="3">
        <v>0.8585313635874814</v>
      </c>
      <c r="E5" s="3">
        <v>0.9927673733546509</v>
      </c>
      <c r="F5" s="3">
        <v>0.9686473231153971</v>
      </c>
      <c r="G5" s="3">
        <v>0.9081761006289308</v>
      </c>
      <c r="H5" s="3">
        <v>0.7953936195357496</v>
      </c>
      <c r="I5" s="3">
        <v>0.9934606356633375</v>
      </c>
      <c r="J5" s="3">
        <v>0.9474085995950957</v>
      </c>
      <c r="K5" s="3">
        <v>0.8496855345911948</v>
      </c>
      <c r="L5" s="3">
        <v>0.8850355116697332</v>
      </c>
    </row>
    <row r="6" spans="1:12">
      <c r="A6" t="s">
        <v>122</v>
      </c>
      <c r="B6">
        <v>0</v>
      </c>
      <c r="C6" t="s">
        <v>322</v>
      </c>
    </row>
    <row r="7" spans="1:12">
      <c r="A7" t="s">
        <v>122</v>
      </c>
      <c r="B7">
        <v>1</v>
      </c>
      <c r="C7" t="s">
        <v>323</v>
      </c>
      <c r="D7" s="3">
        <v>0.503610535692343</v>
      </c>
      <c r="E7" s="3">
        <v>0.8348929561076694</v>
      </c>
      <c r="F7" s="3">
        <v>0.5042113953011303</v>
      </c>
      <c r="G7" s="3">
        <v>0.7805447470817121</v>
      </c>
      <c r="H7" s="3">
        <v>0.201775016459277</v>
      </c>
      <c r="I7" s="3">
        <v>0.5612680259754494</v>
      </c>
      <c r="J7" s="3">
        <v>0.1085070367234755</v>
      </c>
      <c r="K7" s="3">
        <v>0.4494163424124514</v>
      </c>
      <c r="L7" s="3">
        <v>0.4602484662845909</v>
      </c>
    </row>
    <row r="8" spans="1:12">
      <c r="A8" t="s">
        <v>122</v>
      </c>
      <c r="B8">
        <v>2</v>
      </c>
      <c r="C8" t="s">
        <v>324</v>
      </c>
      <c r="D8" s="3">
        <v>0.8548144908110651</v>
      </c>
      <c r="E8" s="3">
        <v>0.9544440227489047</v>
      </c>
      <c r="F8" s="3">
        <v>0.9023533897855874</v>
      </c>
      <c r="G8" s="3">
        <v>0.9480225988700566</v>
      </c>
      <c r="H8" s="3">
        <v>0.8103648571988015</v>
      </c>
      <c r="I8" s="3">
        <v>0.9572324217211702</v>
      </c>
      <c r="J8" s="3">
        <v>0.8981836159333403</v>
      </c>
      <c r="K8" s="3">
        <v>0.8898305084745765</v>
      </c>
      <c r="L8" s="3">
        <v>0.795325883512951</v>
      </c>
    </row>
    <row r="9" spans="1:12">
      <c r="A9" t="s">
        <v>122</v>
      </c>
      <c r="B9">
        <v>3</v>
      </c>
      <c r="C9" t="s">
        <v>325</v>
      </c>
      <c r="D9" s="3">
        <v>0.8662339988183981</v>
      </c>
      <c r="E9" s="3">
        <v>0.9931783867754401</v>
      </c>
      <c r="F9" s="3">
        <v>0.9726950978006053</v>
      </c>
      <c r="G9" s="3">
        <v>0.9125786163522014</v>
      </c>
      <c r="H9" s="3">
        <v>0.7930251899750027</v>
      </c>
      <c r="I9" s="3">
        <v>0.993981826375986</v>
      </c>
      <c r="J9" s="3">
        <v>0.93969027877734</v>
      </c>
      <c r="K9" s="3">
        <v>0.8528301886792453</v>
      </c>
      <c r="L9" s="3">
        <v>0.8859683901199269</v>
      </c>
    </row>
    <row r="10" spans="1:12">
      <c r="A10" t="s">
        <v>131</v>
      </c>
      <c r="B10">
        <v>0</v>
      </c>
      <c r="C10" t="s">
        <v>322</v>
      </c>
    </row>
    <row r="11" spans="1:12">
      <c r="A11" t="s">
        <v>131</v>
      </c>
      <c r="B11">
        <v>1</v>
      </c>
      <c r="C11" t="s">
        <v>323</v>
      </c>
      <c r="D11" s="3">
        <v>0.5063263172750433</v>
      </c>
      <c r="E11" s="3">
        <v>0.8379727911460889</v>
      </c>
      <c r="F11" s="3">
        <v>0.5085724487015235</v>
      </c>
      <c r="G11" s="3">
        <v>0.7778210116731518</v>
      </c>
      <c r="H11" s="3">
        <v>0.2022801614028759</v>
      </c>
      <c r="I11" s="3">
        <v>0.5682495367281942</v>
      </c>
      <c r="J11" s="3">
        <v>0.1096161283160137</v>
      </c>
      <c r="K11" s="3">
        <v>0.4478599221789883</v>
      </c>
      <c r="L11" s="3">
        <v>0.459529602950549</v>
      </c>
    </row>
    <row r="12" spans="1:12">
      <c r="A12" t="s">
        <v>131</v>
      </c>
      <c r="B12">
        <v>2</v>
      </c>
      <c r="C12" t="s">
        <v>324</v>
      </c>
      <c r="D12" s="3">
        <v>0.8550464877760475</v>
      </c>
      <c r="E12" s="3">
        <v>0.9537497343770251</v>
      </c>
      <c r="F12" s="3">
        <v>0.9033567390535595</v>
      </c>
      <c r="G12" s="3">
        <v>0.948587570621469</v>
      </c>
      <c r="H12" s="3">
        <v>0.8103942598045099</v>
      </c>
      <c r="I12" s="3">
        <v>0.956518389566524</v>
      </c>
      <c r="J12" s="3">
        <v>0.8944531214506183</v>
      </c>
      <c r="K12" s="3">
        <v>0.8903954802259889</v>
      </c>
      <c r="L12" s="3">
        <v>0.7916779675001574</v>
      </c>
    </row>
    <row r="13" spans="1:12">
      <c r="A13" t="s">
        <v>131</v>
      </c>
      <c r="B13">
        <v>3</v>
      </c>
      <c r="C13" t="s">
        <v>325</v>
      </c>
      <c r="D13" s="3">
        <v>0.8651975711082811</v>
      </c>
      <c r="E13" s="3">
        <v>0.9933097307088414</v>
      </c>
      <c r="F13" s="3">
        <v>0.973920514376693</v>
      </c>
      <c r="G13" s="3">
        <v>0.9088050314465409</v>
      </c>
      <c r="H13" s="3">
        <v>0.7955750640868381</v>
      </c>
      <c r="I13" s="3">
        <v>0.9940605127327053</v>
      </c>
      <c r="J13" s="3">
        <v>0.9381954591431519</v>
      </c>
      <c r="K13" s="3">
        <v>0.850943396226415</v>
      </c>
      <c r="L13" s="3">
        <v>0.8861234776826383</v>
      </c>
    </row>
    <row r="14" spans="1:12">
      <c r="A14" t="s">
        <v>147</v>
      </c>
      <c r="B14">
        <v>0</v>
      </c>
      <c r="C14" t="s">
        <v>322</v>
      </c>
    </row>
    <row r="15" spans="1:12">
      <c r="A15" t="s">
        <v>147</v>
      </c>
      <c r="B15">
        <v>1</v>
      </c>
      <c r="C15" t="s">
        <v>323</v>
      </c>
      <c r="D15" s="3">
        <v>0.4157602372552777</v>
      </c>
      <c r="E15" s="3">
        <v>0.8277487021328449</v>
      </c>
      <c r="F15" s="3">
        <v>0.3617739602747446</v>
      </c>
      <c r="G15" s="3">
        <v>0.6373540856031129</v>
      </c>
      <c r="H15" s="3">
        <v>0.1597212073200472</v>
      </c>
      <c r="I15" s="3">
        <v>0.5126004899248094</v>
      </c>
      <c r="J15" s="3">
        <v>0.0727012594769096</v>
      </c>
      <c r="K15" s="3">
        <v>0.3906614785992218</v>
      </c>
      <c r="L15" s="3">
        <v>0.4972665792133816</v>
      </c>
    </row>
    <row r="16" spans="1:12">
      <c r="A16" t="s">
        <v>147</v>
      </c>
      <c r="B16">
        <v>2</v>
      </c>
      <c r="C16" t="s">
        <v>324</v>
      </c>
      <c r="D16" s="3">
        <v>0.7517788878502777</v>
      </c>
      <c r="E16" s="3">
        <v>0.9147470241611912</v>
      </c>
      <c r="F16" s="3">
        <v>0.8337727481576731</v>
      </c>
      <c r="G16" s="3">
        <v>0.9112994350282486</v>
      </c>
      <c r="H16" s="3">
        <v>0.7138081513406329</v>
      </c>
      <c r="I16" s="3">
        <v>0.92592315439578</v>
      </c>
      <c r="J16" s="3">
        <v>0.800278401177875</v>
      </c>
      <c r="K16" s="3">
        <v>0.8502824858757062</v>
      </c>
      <c r="L16" s="3">
        <v>0.7689928811902561</v>
      </c>
    </row>
    <row r="17" spans="1:12">
      <c r="A17" t="s">
        <v>147</v>
      </c>
      <c r="B17">
        <v>3</v>
      </c>
      <c r="C17" t="s">
        <v>325</v>
      </c>
      <c r="D17" s="3">
        <v>0.736209481976369</v>
      </c>
      <c r="E17" s="3">
        <v>0.9773139105121472</v>
      </c>
      <c r="F17" s="3">
        <v>0.8979973948858035</v>
      </c>
      <c r="G17" s="3">
        <v>0.8144654088050315</v>
      </c>
      <c r="H17" s="3">
        <v>0.6804350712697038</v>
      </c>
      <c r="I17" s="3">
        <v>0.9704961053562535</v>
      </c>
      <c r="J17" s="3">
        <v>0.804604980626522</v>
      </c>
      <c r="K17" s="3">
        <v>0.7911949685534593</v>
      </c>
      <c r="L17" s="3">
        <v>0.7816112941771235</v>
      </c>
    </row>
    <row r="18" spans="1:12">
      <c r="A18" t="s">
        <v>155</v>
      </c>
      <c r="B18">
        <v>0</v>
      </c>
      <c r="C18" t="s">
        <v>322</v>
      </c>
    </row>
    <row r="19" spans="1:12">
      <c r="A19" t="s">
        <v>155</v>
      </c>
      <c r="B19">
        <v>1</v>
      </c>
      <c r="C19" t="s">
        <v>323</v>
      </c>
      <c r="D19" s="3">
        <v>0.4240743048564564</v>
      </c>
      <c r="E19" s="3">
        <v>0.8240990468788516</v>
      </c>
      <c r="F19" s="3">
        <v>0.3919040857832346</v>
      </c>
      <c r="G19" s="3">
        <v>0.6365758754863814</v>
      </c>
      <c r="H19" s="3">
        <v>0.1592001517365182</v>
      </c>
      <c r="I19" s="3">
        <v>0.5004714203885176</v>
      </c>
      <c r="J19" s="3">
        <v>0.07314381367790315</v>
      </c>
      <c r="K19" s="3">
        <v>0.3832684824902723</v>
      </c>
      <c r="L19" s="3">
        <v>0.4977219554242088</v>
      </c>
    </row>
    <row r="20" spans="1:12">
      <c r="A20" t="s">
        <v>155</v>
      </c>
      <c r="B20">
        <v>2</v>
      </c>
      <c r="C20" t="s">
        <v>324</v>
      </c>
      <c r="D20" s="3">
        <v>0.736843607345855</v>
      </c>
      <c r="E20" s="3">
        <v>0.9177004329784126</v>
      </c>
      <c r="F20" s="3">
        <v>0.820954093301047</v>
      </c>
      <c r="G20" s="3">
        <v>0.9050847457627118</v>
      </c>
      <c r="H20" s="3">
        <v>0.7065620837212496</v>
      </c>
      <c r="I20" s="3">
        <v>0.9252103590169429</v>
      </c>
      <c r="J20" s="3">
        <v>0.7960276153879794</v>
      </c>
      <c r="K20" s="3">
        <v>0.8451977401129944</v>
      </c>
      <c r="L20" s="3">
        <v>0.7535587347570396</v>
      </c>
    </row>
    <row r="21" spans="1:12">
      <c r="A21" t="s">
        <v>155</v>
      </c>
      <c r="B21">
        <v>3</v>
      </c>
      <c r="C21" t="s">
        <v>325</v>
      </c>
      <c r="D21" s="3">
        <v>0.7362231746226828</v>
      </c>
      <c r="E21" s="3">
        <v>0.973618987864693</v>
      </c>
      <c r="F21" s="3">
        <v>0.8880228099740658</v>
      </c>
      <c r="G21" s="3">
        <v>0.8132075471698114</v>
      </c>
      <c r="H21" s="3">
        <v>0.6787818552428546</v>
      </c>
      <c r="I21" s="3">
        <v>0.9674365530392919</v>
      </c>
      <c r="J21" s="3">
        <v>0.8065418011894291</v>
      </c>
      <c r="K21" s="3">
        <v>0.7886792452830189</v>
      </c>
      <c r="L21" s="3">
        <v>0.7740278175778628</v>
      </c>
    </row>
    <row r="22" spans="1:12">
      <c r="A22" t="s">
        <v>161</v>
      </c>
      <c r="B22">
        <v>0</v>
      </c>
      <c r="C22" t="s">
        <v>322</v>
      </c>
    </row>
    <row r="23" spans="1:12">
      <c r="A23" t="s">
        <v>161</v>
      </c>
      <c r="B23">
        <v>1</v>
      </c>
      <c r="C23" t="s">
        <v>323</v>
      </c>
      <c r="D23" s="3">
        <v>0.5137161285675815</v>
      </c>
      <c r="E23" s="3">
        <v>0.8490539486452019</v>
      </c>
      <c r="F23" s="3">
        <v>0.4903268483933048</v>
      </c>
      <c r="G23" s="3">
        <v>0.777431906614786</v>
      </c>
      <c r="H23" s="3">
        <v>0.2050244117001869</v>
      </c>
      <c r="I23" s="3">
        <v>0.5786579760461249</v>
      </c>
      <c r="J23" s="3">
        <v>0.1141134215323616</v>
      </c>
      <c r="K23" s="3">
        <v>0.4470817120622568</v>
      </c>
      <c r="L23" s="3">
        <v>0.4952006035218866</v>
      </c>
    </row>
    <row r="24" spans="1:12">
      <c r="A24" t="s">
        <v>161</v>
      </c>
      <c r="B24">
        <v>2</v>
      </c>
      <c r="C24" t="s">
        <v>324</v>
      </c>
      <c r="D24" s="3">
        <v>0.8590057209563307</v>
      </c>
      <c r="E24" s="3">
        <v>0.9639930358341728</v>
      </c>
      <c r="F24" s="3">
        <v>0.9186967396930418</v>
      </c>
      <c r="G24" s="3">
        <v>0.9389830508474576</v>
      </c>
      <c r="H24" s="3">
        <v>0.8186274305127421</v>
      </c>
      <c r="I24" s="3">
        <v>0.9639901278362424</v>
      </c>
      <c r="J24" s="3">
        <v>0.9169979388475592</v>
      </c>
      <c r="K24" s="3">
        <v>0.8915254237288137</v>
      </c>
      <c r="L24" s="3">
        <v>0.8270694921665872</v>
      </c>
    </row>
    <row r="25" spans="1:12">
      <c r="A25" t="s">
        <v>161</v>
      </c>
      <c r="B25">
        <v>3</v>
      </c>
      <c r="C25" t="s">
        <v>325</v>
      </c>
      <c r="D25" s="3">
        <v>0.8442759613220315</v>
      </c>
      <c r="E25" s="3">
        <v>0.9886539301157651</v>
      </c>
      <c r="F25" s="3">
        <v>0.9631737421290855</v>
      </c>
      <c r="G25" s="3">
        <v>0.9044025157232705</v>
      </c>
      <c r="H25" s="3">
        <v>0.7830381746413044</v>
      </c>
      <c r="I25" s="3">
        <v>0.9886539301157651</v>
      </c>
      <c r="J25" s="3">
        <v>0.9463303845003482</v>
      </c>
      <c r="K25" s="3">
        <v>0.8553459119496853</v>
      </c>
      <c r="L25" s="3">
        <v>0.8794283476273069</v>
      </c>
    </row>
    <row r="26" spans="1:12">
      <c r="A26" t="s">
        <v>169</v>
      </c>
      <c r="B26">
        <v>0</v>
      </c>
      <c r="C26" t="s">
        <v>322</v>
      </c>
    </row>
    <row r="27" spans="1:12">
      <c r="A27" t="s">
        <v>169</v>
      </c>
      <c r="B27">
        <v>1</v>
      </c>
      <c r="C27" t="s">
        <v>323</v>
      </c>
      <c r="D27" s="3">
        <v>0.502592356593045</v>
      </c>
      <c r="E27" s="3">
        <v>0.8421516324837039</v>
      </c>
      <c r="F27" s="3">
        <v>0.4918127102173494</v>
      </c>
      <c r="G27" s="3">
        <v>0.7785992217898833</v>
      </c>
      <c r="H27" s="3">
        <v>0.1981583734153998</v>
      </c>
      <c r="I27" s="3">
        <v>0.5470431345569658</v>
      </c>
      <c r="J27" s="3">
        <v>0.1131269277208196</v>
      </c>
      <c r="K27" s="3">
        <v>0.4280155642023346</v>
      </c>
      <c r="L27" s="3">
        <v>0.5678439304242677</v>
      </c>
    </row>
    <row r="28" spans="1:12">
      <c r="A28" t="s">
        <v>169</v>
      </c>
      <c r="B28">
        <v>2</v>
      </c>
      <c r="C28" t="s">
        <v>324</v>
      </c>
      <c r="D28" s="3">
        <v>0.8168933979722027</v>
      </c>
      <c r="E28" s="3">
        <v>0.945186093319396</v>
      </c>
      <c r="F28" s="3">
        <v>0.8603825855984806</v>
      </c>
      <c r="G28" s="3">
        <v>0.9418079096045199</v>
      </c>
      <c r="H28" s="3">
        <v>0.779948611910372</v>
      </c>
      <c r="I28" s="3">
        <v>0.9453224240799136</v>
      </c>
      <c r="J28" s="3">
        <v>0.8621542170770602</v>
      </c>
      <c r="K28" s="3">
        <v>0.8920903954802262</v>
      </c>
      <c r="L28" s="3">
        <v>0.8142679935614923</v>
      </c>
    </row>
    <row r="29" spans="1:12">
      <c r="A29" t="s">
        <v>169</v>
      </c>
      <c r="B29">
        <v>3</v>
      </c>
      <c r="C29" t="s">
        <v>325</v>
      </c>
      <c r="D29" s="3">
        <v>0.8288782439463696</v>
      </c>
      <c r="E29" s="3">
        <v>0.9862319833075417</v>
      </c>
      <c r="F29" s="3">
        <v>0.9730657908857345</v>
      </c>
      <c r="G29" s="3">
        <v>0.9062893081761005</v>
      </c>
      <c r="H29" s="3">
        <v>0.7770189539142164</v>
      </c>
      <c r="I29" s="3">
        <v>0.981587894287837</v>
      </c>
      <c r="J29" s="3">
        <v>0.9405036754748326</v>
      </c>
      <c r="K29" s="3">
        <v>0.8522012578616351</v>
      </c>
      <c r="L29" s="3">
        <v>0.8772740205370959</v>
      </c>
    </row>
    <row r="30" spans="1:12">
      <c r="A30" t="s">
        <v>177</v>
      </c>
      <c r="B30">
        <v>0</v>
      </c>
      <c r="C30" t="s">
        <v>322</v>
      </c>
    </row>
    <row r="31" spans="1:12">
      <c r="A31" t="s">
        <v>177</v>
      </c>
      <c r="B31">
        <v>1</v>
      </c>
      <c r="C31" t="s">
        <v>323</v>
      </c>
      <c r="D31" s="3">
        <v>0.2596677654329713</v>
      </c>
      <c r="E31" s="3">
        <v>0.713845547226416</v>
      </c>
      <c r="F31" s="3">
        <v>0.09915007751893386</v>
      </c>
      <c r="G31" s="3">
        <v>0.5785992217898832</v>
      </c>
      <c r="H31" s="3">
        <v>0.1551467087866984</v>
      </c>
      <c r="I31" s="3">
        <v>0.5034416939381229</v>
      </c>
      <c r="J31" s="3">
        <v>0.05380779367753603</v>
      </c>
      <c r="K31" s="3">
        <v>0.442023346303502</v>
      </c>
      <c r="L31" s="3">
        <v>0.4966257233215513</v>
      </c>
    </row>
    <row r="32" spans="1:12">
      <c r="A32" t="s">
        <v>177</v>
      </c>
      <c r="B32">
        <v>2</v>
      </c>
      <c r="C32" t="s">
        <v>324</v>
      </c>
      <c r="D32" s="3">
        <v>0.623084198352752</v>
      </c>
      <c r="E32" s="3">
        <v>0.8838836940568795</v>
      </c>
      <c r="F32" s="3">
        <v>0.7821264353837437</v>
      </c>
      <c r="G32" s="3">
        <v>0.8237288135593221</v>
      </c>
      <c r="H32" s="3">
        <v>0.7046963208519428</v>
      </c>
      <c r="I32" s="3">
        <v>0.9035607510180678</v>
      </c>
      <c r="J32" s="3">
        <v>0.811740223629088</v>
      </c>
      <c r="K32" s="3">
        <v>0.8745762711864407</v>
      </c>
      <c r="L32" s="3">
        <v>0.6825836484804179</v>
      </c>
    </row>
    <row r="33" spans="1:12">
      <c r="A33" t="s">
        <v>177</v>
      </c>
      <c r="B33">
        <v>3</v>
      </c>
      <c r="C33" t="s">
        <v>325</v>
      </c>
      <c r="D33" s="3">
        <v>0.6714029439499232</v>
      </c>
      <c r="E33" s="3">
        <v>0.9791314701682525</v>
      </c>
      <c r="F33" s="3">
        <v>0.872514897535601</v>
      </c>
      <c r="G33" s="3">
        <v>0.759119496855346</v>
      </c>
      <c r="H33" s="3">
        <v>0.7042069754284283</v>
      </c>
      <c r="I33" s="3">
        <v>0.9825137192359831</v>
      </c>
      <c r="J33" s="3">
        <v>0.7985486294894314</v>
      </c>
      <c r="K33" s="3">
        <v>0.8213836477987421</v>
      </c>
      <c r="L33" s="3">
        <v>0.7634634866128102</v>
      </c>
    </row>
    <row r="34" spans="1:12">
      <c r="A34" t="s">
        <v>183</v>
      </c>
      <c r="B34">
        <v>0</v>
      </c>
      <c r="C34" t="s">
        <v>322</v>
      </c>
    </row>
    <row r="35" spans="1:12">
      <c r="A35" t="s">
        <v>183</v>
      </c>
      <c r="B35">
        <v>1</v>
      </c>
      <c r="C35" t="s">
        <v>323</v>
      </c>
      <c r="D35" s="3">
        <v>0.5070954507950055</v>
      </c>
      <c r="E35" s="3">
        <v>0.8506529984923836</v>
      </c>
      <c r="F35" s="3">
        <v>0.4959242025144023</v>
      </c>
      <c r="G35" s="3">
        <v>0.7766536964980546</v>
      </c>
      <c r="H35" s="3">
        <v>0.2021818010045539</v>
      </c>
      <c r="I35" s="3">
        <v>0.5684286374998435</v>
      </c>
      <c r="J35" s="3">
        <v>0.1039816667093736</v>
      </c>
      <c r="K35" s="3">
        <v>0.4482490272373541</v>
      </c>
      <c r="L35" s="3">
        <v>0.4927062193540484</v>
      </c>
    </row>
    <row r="36" spans="1:12">
      <c r="A36" t="s">
        <v>183</v>
      </c>
      <c r="B36">
        <v>2</v>
      </c>
      <c r="C36" t="s">
        <v>324</v>
      </c>
      <c r="D36" s="3">
        <v>0.8622203629555727</v>
      </c>
      <c r="E36" s="3">
        <v>0.9661463871465577</v>
      </c>
      <c r="F36" s="3">
        <v>0.9153370703402771</v>
      </c>
      <c r="G36" s="3">
        <v>0.9446327683615821</v>
      </c>
      <c r="H36" s="3">
        <v>0.8192452302865462</v>
      </c>
      <c r="I36" s="3">
        <v>0.9650253096022698</v>
      </c>
      <c r="J36" s="3">
        <v>0.9166025676635815</v>
      </c>
      <c r="K36" s="3">
        <v>0.8920903954802262</v>
      </c>
      <c r="L36" s="3">
        <v>0.8368783523463839</v>
      </c>
    </row>
    <row r="37" spans="1:12">
      <c r="A37" t="s">
        <v>183</v>
      </c>
      <c r="B37">
        <v>3</v>
      </c>
      <c r="C37" t="s">
        <v>325</v>
      </c>
      <c r="D37" s="3">
        <v>0.8464778919571467</v>
      </c>
      <c r="E37" s="3">
        <v>0.9910237989441721</v>
      </c>
      <c r="F37" s="3">
        <v>0.9662137687080642</v>
      </c>
      <c r="G37" s="3">
        <v>0.9044025157232705</v>
      </c>
      <c r="H37" s="3">
        <v>0.787308747114441</v>
      </c>
      <c r="I37" s="3">
        <v>0.9910237989441721</v>
      </c>
      <c r="J37" s="3">
        <v>0.94814605991959</v>
      </c>
      <c r="K37" s="3">
        <v>0.8603773584905661</v>
      </c>
      <c r="L37" s="3">
        <v>0.8804840375610128</v>
      </c>
    </row>
    <row r="38" spans="1:12">
      <c r="A38" t="s">
        <v>191</v>
      </c>
      <c r="B38">
        <v>0</v>
      </c>
      <c r="C38" t="s">
        <v>322</v>
      </c>
    </row>
    <row r="39" spans="1:12">
      <c r="A39" t="s">
        <v>191</v>
      </c>
      <c r="B39">
        <v>1</v>
      </c>
      <c r="C39" t="s">
        <v>323</v>
      </c>
      <c r="D39" s="3">
        <v>0.5116692320412884</v>
      </c>
      <c r="E39" s="3">
        <v>0.8492762793419327</v>
      </c>
      <c r="F39" s="3">
        <v>0.5045307193773646</v>
      </c>
      <c r="G39" s="3">
        <v>0.7782101167315175</v>
      </c>
      <c r="H39" s="3">
        <v>0.2005136712257924</v>
      </c>
      <c r="I39" s="3">
        <v>0.5745077839211444</v>
      </c>
      <c r="J39" s="3">
        <v>0.1020524759785629</v>
      </c>
      <c r="K39" s="3">
        <v>0.4501945525291829</v>
      </c>
      <c r="L39" s="3">
        <v>0.5105656149463725</v>
      </c>
    </row>
    <row r="40" spans="1:12">
      <c r="A40" t="s">
        <v>191</v>
      </c>
      <c r="B40">
        <v>2</v>
      </c>
      <c r="C40" t="s">
        <v>324</v>
      </c>
      <c r="D40" s="3">
        <v>0.860397575260193</v>
      </c>
      <c r="E40" s="3">
        <v>0.9666068703641788</v>
      </c>
      <c r="F40" s="3">
        <v>0.9101076303720602</v>
      </c>
      <c r="G40" s="3">
        <v>0.9418079096045199</v>
      </c>
      <c r="H40" s="3">
        <v>0.8174965959180367</v>
      </c>
      <c r="I40" s="3">
        <v>0.9654432233669703</v>
      </c>
      <c r="J40" s="3">
        <v>0.9139522296680228</v>
      </c>
      <c r="K40" s="3">
        <v>0.8926553672316386</v>
      </c>
      <c r="L40" s="3">
        <v>0.840745585638782</v>
      </c>
    </row>
    <row r="41" spans="1:12">
      <c r="A41" t="s">
        <v>191</v>
      </c>
      <c r="B41">
        <v>3</v>
      </c>
      <c r="C41" t="s">
        <v>325</v>
      </c>
      <c r="D41" s="3">
        <v>0.8481922733013521</v>
      </c>
      <c r="E41" s="3">
        <v>0.9910049663870832</v>
      </c>
      <c r="F41" s="3">
        <v>0.9692356927846499</v>
      </c>
      <c r="G41" s="3">
        <v>0.9050314465408805</v>
      </c>
      <c r="H41" s="3">
        <v>0.7890175289397858</v>
      </c>
      <c r="I41" s="3">
        <v>0.9910049663870832</v>
      </c>
      <c r="J41" s="3">
        <v>0.9460656923591896</v>
      </c>
      <c r="K41" s="3">
        <v>0.859748427672956</v>
      </c>
      <c r="L41" s="3">
        <v>0.8723224840337338</v>
      </c>
    </row>
    <row r="42" spans="1:12">
      <c r="A42" t="s">
        <v>197</v>
      </c>
      <c r="B42">
        <v>0</v>
      </c>
      <c r="C42" t="s">
        <v>322</v>
      </c>
    </row>
    <row r="43" spans="1:12">
      <c r="A43" t="s">
        <v>197</v>
      </c>
      <c r="B43">
        <v>1</v>
      </c>
      <c r="C43" t="s">
        <v>323</v>
      </c>
      <c r="D43" s="3">
        <v>0.4880509402351506</v>
      </c>
      <c r="E43" s="3">
        <v>0.832984755844315</v>
      </c>
      <c r="F43" s="3">
        <v>0.4782657845710908</v>
      </c>
      <c r="G43" s="3">
        <v>0.7552529182879378</v>
      </c>
      <c r="H43" s="3">
        <v>0.1779325018728566</v>
      </c>
      <c r="I43" s="3">
        <v>0.5540497887433841</v>
      </c>
      <c r="J43" s="3">
        <v>0.08844083628306573</v>
      </c>
      <c r="K43" s="3">
        <v>0.4062256809338521</v>
      </c>
      <c r="L43" s="3">
        <v>0.5108846930582253</v>
      </c>
    </row>
    <row r="44" spans="1:12">
      <c r="A44" t="s">
        <v>197</v>
      </c>
      <c r="B44">
        <v>2</v>
      </c>
      <c r="C44" t="s">
        <v>324</v>
      </c>
      <c r="D44" s="3">
        <v>0.8572612812086843</v>
      </c>
      <c r="E44" s="3">
        <v>0.9674489095267509</v>
      </c>
      <c r="F44" s="3">
        <v>0.9147042780086637</v>
      </c>
      <c r="G44" s="3">
        <v>0.9389830508474576</v>
      </c>
      <c r="H44" s="3">
        <v>0.8176863134429261</v>
      </c>
      <c r="I44" s="3">
        <v>0.9665622533966415</v>
      </c>
      <c r="J44" s="3">
        <v>0.9065405876519234</v>
      </c>
      <c r="K44" s="3">
        <v>0.8903954802259888</v>
      </c>
      <c r="L44" s="3">
        <v>0.8119404553677999</v>
      </c>
    </row>
    <row r="45" spans="1:12">
      <c r="A45" t="s">
        <v>197</v>
      </c>
      <c r="B45">
        <v>3</v>
      </c>
      <c r="C45" t="s">
        <v>325</v>
      </c>
      <c r="D45" s="3">
        <v>0.8503335933303477</v>
      </c>
      <c r="E45" s="3">
        <v>0.9962270340925352</v>
      </c>
      <c r="F45" s="3">
        <v>0.9832937910773543</v>
      </c>
      <c r="G45" s="3">
        <v>0.9069182389937106</v>
      </c>
      <c r="H45" s="3">
        <v>0.7863593852277173</v>
      </c>
      <c r="I45" s="3">
        <v>0.9962270340925352</v>
      </c>
      <c r="J45" s="3">
        <v>0.9609722301001549</v>
      </c>
      <c r="K45" s="3">
        <v>0.8566037735849056</v>
      </c>
      <c r="L45" s="3">
        <v>0.8830940950709982</v>
      </c>
    </row>
    <row r="46" spans="1:12">
      <c r="A46" t="s">
        <v>205</v>
      </c>
      <c r="B46">
        <v>0</v>
      </c>
      <c r="C46" t="s">
        <v>322</v>
      </c>
    </row>
    <row r="47" spans="1:12">
      <c r="A47" t="s">
        <v>205</v>
      </c>
      <c r="B47">
        <v>1</v>
      </c>
      <c r="C47" t="s">
        <v>323</v>
      </c>
      <c r="D47" s="3">
        <v>0.4921789621918771</v>
      </c>
      <c r="E47" s="3">
        <v>0.8490203318153154</v>
      </c>
      <c r="F47" s="3">
        <v>0.4719682295590615</v>
      </c>
      <c r="G47" s="3">
        <v>0.7704280155642024</v>
      </c>
      <c r="H47" s="3">
        <v>0.1987651972617195</v>
      </c>
      <c r="I47" s="3">
        <v>0.5732217066276503</v>
      </c>
      <c r="J47" s="3">
        <v>0.09743927691921488</v>
      </c>
      <c r="K47" s="3">
        <v>0.4459143968871596</v>
      </c>
      <c r="L47" s="3">
        <v>0.4749513463137409</v>
      </c>
    </row>
    <row r="48" spans="1:12">
      <c r="A48" t="s">
        <v>205</v>
      </c>
      <c r="B48">
        <v>2</v>
      </c>
      <c r="C48" t="s">
        <v>324</v>
      </c>
      <c r="D48" s="3">
        <v>0.857858252794336</v>
      </c>
      <c r="E48" s="3">
        <v>0.9678674188939997</v>
      </c>
      <c r="F48" s="3">
        <v>0.8986527208960818</v>
      </c>
      <c r="G48" s="3">
        <v>0.9389830508474576</v>
      </c>
      <c r="H48" s="3">
        <v>0.8161879963642056</v>
      </c>
      <c r="I48" s="3">
        <v>0.9673196038800931</v>
      </c>
      <c r="J48" s="3">
        <v>0.9070583115921568</v>
      </c>
      <c r="K48" s="3">
        <v>0.8841807909604521</v>
      </c>
      <c r="L48" s="3">
        <v>0.8270816608603497</v>
      </c>
    </row>
    <row r="49" spans="1:12">
      <c r="A49" t="s">
        <v>205</v>
      </c>
      <c r="B49">
        <v>3</v>
      </c>
      <c r="C49" t="s">
        <v>325</v>
      </c>
      <c r="D49" s="3">
        <v>0.8430874020725521</v>
      </c>
      <c r="E49" s="3">
        <v>0.9925285119286126</v>
      </c>
      <c r="F49" s="3">
        <v>0.9789624299984906</v>
      </c>
      <c r="G49" s="3">
        <v>0.9056603773584907</v>
      </c>
      <c r="H49" s="3">
        <v>0.7838638289348738</v>
      </c>
      <c r="I49" s="3">
        <v>0.9922867303043418</v>
      </c>
      <c r="J49" s="3">
        <v>0.9326574754706639</v>
      </c>
      <c r="K49" s="3">
        <v>0.8528301886792453</v>
      </c>
      <c r="L49" s="3">
        <v>0.8825020163028136</v>
      </c>
    </row>
    <row r="50" spans="1:12">
      <c r="A50" t="s">
        <v>212</v>
      </c>
      <c r="B50">
        <v>0</v>
      </c>
      <c r="C50" t="s">
        <v>322</v>
      </c>
    </row>
    <row r="51" spans="1:12">
      <c r="A51" t="s">
        <v>212</v>
      </c>
      <c r="B51">
        <v>1</v>
      </c>
      <c r="C51" t="s">
        <v>323</v>
      </c>
      <c r="D51" s="3">
        <v>0.4796649814910603</v>
      </c>
      <c r="E51" s="3">
        <v>0.823520584098081</v>
      </c>
      <c r="F51" s="3">
        <v>0.4706514362775775</v>
      </c>
      <c r="G51" s="3">
        <v>0.7548638132295721</v>
      </c>
      <c r="H51" s="3">
        <v>0.1814942011801853</v>
      </c>
      <c r="I51" s="3">
        <v>0.5450478936138573</v>
      </c>
      <c r="J51" s="3">
        <v>0.08825422084509578</v>
      </c>
      <c r="K51" s="3">
        <v>0.4042801556420234</v>
      </c>
      <c r="L51" s="3">
        <v>0.4461057016291879</v>
      </c>
    </row>
    <row r="52" spans="1:12">
      <c r="A52" t="s">
        <v>212</v>
      </c>
      <c r="B52">
        <v>2</v>
      </c>
      <c r="C52" t="s">
        <v>324</v>
      </c>
      <c r="D52" s="3">
        <v>0.8512656776422003</v>
      </c>
      <c r="E52" s="3">
        <v>0.9547192706039394</v>
      </c>
      <c r="F52" s="3">
        <v>0.9010551616766327</v>
      </c>
      <c r="G52" s="3">
        <v>0.9457627118644067</v>
      </c>
      <c r="H52" s="3">
        <v>0.8051528717339532</v>
      </c>
      <c r="I52" s="3">
        <v>0.9573612128394136</v>
      </c>
      <c r="J52" s="3">
        <v>0.8882872933007244</v>
      </c>
      <c r="K52" s="3">
        <v>0.8887005649717514</v>
      </c>
      <c r="L52" s="3">
        <v>0.7814564205965875</v>
      </c>
    </row>
    <row r="53" spans="1:12">
      <c r="A53" t="s">
        <v>212</v>
      </c>
      <c r="B53">
        <v>3</v>
      </c>
      <c r="C53" t="s">
        <v>325</v>
      </c>
      <c r="D53" s="3">
        <v>0.8554647808413773</v>
      </c>
      <c r="E53" s="3">
        <v>0.9956502328876526</v>
      </c>
      <c r="F53" s="3">
        <v>0.9694162342391969</v>
      </c>
      <c r="G53" s="3">
        <v>0.9031446540880503</v>
      </c>
      <c r="H53" s="3">
        <v>0.7956793246836706</v>
      </c>
      <c r="I53" s="3">
        <v>0.9956502328876526</v>
      </c>
      <c r="J53" s="3">
        <v>0.9318172952340263</v>
      </c>
      <c r="K53" s="3">
        <v>0.849685534591195</v>
      </c>
      <c r="L53" s="3">
        <v>0.8827545274614483</v>
      </c>
    </row>
    <row r="54" spans="1:12">
      <c r="A54" t="s">
        <v>220</v>
      </c>
      <c r="B54">
        <v>0</v>
      </c>
      <c r="C54" t="s">
        <v>322</v>
      </c>
    </row>
    <row r="55" spans="1:12">
      <c r="A55" t="s">
        <v>220</v>
      </c>
      <c r="B55">
        <v>1</v>
      </c>
      <c r="C55" t="s">
        <v>323</v>
      </c>
      <c r="D55" s="3">
        <v>0.4756240388677918</v>
      </c>
      <c r="E55" s="3">
        <v>0.8249113421206503</v>
      </c>
      <c r="F55" s="3">
        <v>0.4572972361233227</v>
      </c>
      <c r="G55" s="3">
        <v>0.775875486381323</v>
      </c>
      <c r="H55" s="3">
        <v>0.189184472315465</v>
      </c>
      <c r="I55" s="3">
        <v>0.5662905237601205</v>
      </c>
      <c r="J55" s="3">
        <v>0.09506803186378746</v>
      </c>
      <c r="K55" s="3">
        <v>0.4443579766536965</v>
      </c>
      <c r="L55" s="3">
        <v>0.4598829330308074</v>
      </c>
    </row>
    <row r="56" spans="1:12">
      <c r="A56" t="s">
        <v>220</v>
      </c>
      <c r="B56">
        <v>2</v>
      </c>
      <c r="C56" t="s">
        <v>324</v>
      </c>
      <c r="D56" s="3">
        <v>0.8575149829491794</v>
      </c>
      <c r="E56" s="3">
        <v>0.957333290316478</v>
      </c>
      <c r="F56" s="3">
        <v>0.8989141988511302</v>
      </c>
      <c r="G56" s="3">
        <v>0.9480225988700566</v>
      </c>
      <c r="H56" s="3">
        <v>0.812963585671814</v>
      </c>
      <c r="I56" s="3">
        <v>0.9635958909679483</v>
      </c>
      <c r="J56" s="3">
        <v>0.8951659561348813</v>
      </c>
      <c r="K56" s="3">
        <v>0.888135593220339</v>
      </c>
      <c r="L56" s="3">
        <v>0.7862250213985119</v>
      </c>
    </row>
    <row r="57" spans="1:12">
      <c r="A57" t="s">
        <v>220</v>
      </c>
      <c r="B57">
        <v>3</v>
      </c>
      <c r="C57" t="s">
        <v>325</v>
      </c>
      <c r="D57" s="3">
        <v>0.8657803714861322</v>
      </c>
      <c r="E57" s="3">
        <v>0.9934681465002789</v>
      </c>
      <c r="F57" s="3">
        <v>0.9806856409646819</v>
      </c>
      <c r="G57" s="3">
        <v>0.9106918238993711</v>
      </c>
      <c r="H57" s="3">
        <v>0.7970326165654287</v>
      </c>
      <c r="I57" s="3">
        <v>0.9940021005981422</v>
      </c>
      <c r="J57" s="3">
        <v>0.9246192067825186</v>
      </c>
      <c r="K57" s="3">
        <v>0.8490566037735847</v>
      </c>
      <c r="L57" s="3">
        <v>0.8861567772281145</v>
      </c>
    </row>
    <row r="58" spans="1:12">
      <c r="A58" t="s">
        <v>226</v>
      </c>
      <c r="B58">
        <v>0</v>
      </c>
      <c r="C58" t="s">
        <v>322</v>
      </c>
    </row>
    <row r="59" spans="1:12">
      <c r="A59" t="s">
        <v>226</v>
      </c>
      <c r="B59">
        <v>1</v>
      </c>
      <c r="C59" t="s">
        <v>323</v>
      </c>
      <c r="D59" s="3">
        <v>0.461478508390962</v>
      </c>
      <c r="E59" s="3">
        <v>0.8373865025975429</v>
      </c>
      <c r="F59" s="3">
        <v>0.4318995978770445</v>
      </c>
      <c r="G59" s="3">
        <v>0.7416342412451363</v>
      </c>
      <c r="H59" s="3">
        <v>0.1586644717596235</v>
      </c>
      <c r="I59" s="3">
        <v>0.4925455713182935</v>
      </c>
      <c r="J59" s="3">
        <v>0.07433755110846139</v>
      </c>
      <c r="K59" s="3">
        <v>0.3708171206225681</v>
      </c>
      <c r="L59" s="3">
        <v>0.5004321081193708</v>
      </c>
    </row>
    <row r="60" spans="1:12">
      <c r="A60" t="s">
        <v>226</v>
      </c>
      <c r="B60">
        <v>2</v>
      </c>
      <c r="C60" t="s">
        <v>324</v>
      </c>
      <c r="D60" s="3">
        <v>0.8571234305798704</v>
      </c>
      <c r="E60" s="3">
        <v>0.9665938802801138</v>
      </c>
      <c r="F60" s="3">
        <v>0.9052432632439689</v>
      </c>
      <c r="G60" s="3">
        <v>0.9531073446327685</v>
      </c>
      <c r="H60" s="3">
        <v>0.8062606569550846</v>
      </c>
      <c r="I60" s="3">
        <v>0.9635544913121972</v>
      </c>
      <c r="J60" s="3">
        <v>0.8967147392958409</v>
      </c>
      <c r="K60" s="3">
        <v>0.8864406779661017</v>
      </c>
      <c r="L60" s="3">
        <v>0.8065372363576609</v>
      </c>
    </row>
    <row r="61" spans="1:12">
      <c r="A61" t="s">
        <v>226</v>
      </c>
      <c r="B61">
        <v>3</v>
      </c>
      <c r="C61" t="s">
        <v>325</v>
      </c>
      <c r="D61" s="3">
        <v>0.8607672857735069</v>
      </c>
      <c r="E61" s="3">
        <v>0.9948711646452482</v>
      </c>
      <c r="F61" s="3">
        <v>0.9632030263756991</v>
      </c>
      <c r="G61" s="3">
        <v>0.909433962264151</v>
      </c>
      <c r="H61" s="3">
        <v>0.7946976545771862</v>
      </c>
      <c r="I61" s="3">
        <v>0.9908784827683649</v>
      </c>
      <c r="J61" s="3">
        <v>0.9454067253859699</v>
      </c>
      <c r="K61" s="3">
        <v>0.8484276729559749</v>
      </c>
      <c r="L61" s="3">
        <v>0.8773390457744108</v>
      </c>
    </row>
    <row r="62" spans="1:12">
      <c r="A62" t="s">
        <v>233</v>
      </c>
      <c r="B62">
        <v>0</v>
      </c>
      <c r="C62" t="s">
        <v>322</v>
      </c>
    </row>
    <row r="63" spans="1:12">
      <c r="A63" t="s">
        <v>233</v>
      </c>
      <c r="B63">
        <v>1</v>
      </c>
      <c r="C63" t="s">
        <v>323</v>
      </c>
      <c r="D63" s="3">
        <v>0.2616485281495941</v>
      </c>
      <c r="E63" s="3">
        <v>0.5128816964535522</v>
      </c>
      <c r="F63" s="3">
        <v>0.2370746123338595</v>
      </c>
      <c r="G63" s="3">
        <v>0.5894941634241244</v>
      </c>
      <c r="H63" s="3">
        <v>0.03676308233741382</v>
      </c>
      <c r="I63" s="3">
        <v>0.1176774410993936</v>
      </c>
      <c r="J63" s="3">
        <v>0.01455525990041382</v>
      </c>
      <c r="K63" s="3">
        <v>0.145136186770428</v>
      </c>
      <c r="L63" s="3">
        <v>0.3767986496325628</v>
      </c>
    </row>
    <row r="64" spans="1:12">
      <c r="A64" t="s">
        <v>233</v>
      </c>
      <c r="B64">
        <v>2</v>
      </c>
      <c r="C64" t="s">
        <v>324</v>
      </c>
      <c r="D64" s="3">
        <v>0.7555792348939988</v>
      </c>
      <c r="E64" s="3">
        <v>0.957360195714414</v>
      </c>
      <c r="F64" s="3">
        <v>0.8614160932552984</v>
      </c>
      <c r="G64" s="3">
        <v>0.8954802259887005</v>
      </c>
      <c r="H64" s="3">
        <v>0.748159294580178</v>
      </c>
      <c r="I64" s="3">
        <v>0.9548318538114579</v>
      </c>
      <c r="J64" s="3">
        <v>0.8694772051740852</v>
      </c>
      <c r="K64" s="3">
        <v>0.8514124293785311</v>
      </c>
      <c r="L64" s="3">
        <v>0.7900673198198167</v>
      </c>
    </row>
    <row r="65" spans="1:12">
      <c r="A65" t="s">
        <v>233</v>
      </c>
      <c r="B65">
        <v>3</v>
      </c>
      <c r="C65" t="s">
        <v>325</v>
      </c>
      <c r="D65" s="3">
        <v>0.7622278239539252</v>
      </c>
      <c r="E65" s="3">
        <v>0.987495480555187</v>
      </c>
      <c r="F65" s="3">
        <v>0.9247641919008722</v>
      </c>
      <c r="G65" s="3">
        <v>0.8276729559748428</v>
      </c>
      <c r="H65" s="3">
        <v>0.6380429104411383</v>
      </c>
      <c r="I65" s="3">
        <v>0.9841807590549387</v>
      </c>
      <c r="J65" s="3">
        <v>0.7515818562387716</v>
      </c>
      <c r="K65" s="3">
        <v>0.7352201257861636</v>
      </c>
      <c r="L65" s="3">
        <v>0.8104236920572929</v>
      </c>
    </row>
    <row r="66" spans="1:12">
      <c r="A66" t="s">
        <v>240</v>
      </c>
      <c r="B66">
        <v>0</v>
      </c>
      <c r="C66" t="s">
        <v>322</v>
      </c>
    </row>
    <row r="67" spans="1:12">
      <c r="A67" t="s">
        <v>240</v>
      </c>
      <c r="B67">
        <v>1</v>
      </c>
      <c r="C67" t="s">
        <v>323</v>
      </c>
      <c r="D67" s="3">
        <v>0.2593550284109502</v>
      </c>
      <c r="E67" s="3">
        <v>0.5235665278231862</v>
      </c>
      <c r="F67" s="3">
        <v>0.2268663603322252</v>
      </c>
      <c r="G67" s="3">
        <v>0.5902723735408559</v>
      </c>
      <c r="H67" s="3">
        <v>0.03833649678166542</v>
      </c>
      <c r="I67" s="3">
        <v>0.1176559350125389</v>
      </c>
      <c r="J67" s="3">
        <v>0.01519340965705217</v>
      </c>
      <c r="K67" s="3">
        <v>0.1501945525291829</v>
      </c>
      <c r="L67" s="3">
        <v>0.3720578694622635</v>
      </c>
    </row>
    <row r="68" spans="1:12">
      <c r="A68" t="s">
        <v>240</v>
      </c>
      <c r="B68">
        <v>2</v>
      </c>
      <c r="C68" t="s">
        <v>324</v>
      </c>
      <c r="D68" s="3">
        <v>0.764854311863043</v>
      </c>
      <c r="E68" s="3">
        <v>0.9619916721121232</v>
      </c>
      <c r="F68" s="3">
        <v>0.8623195032300122</v>
      </c>
      <c r="G68" s="3">
        <v>0.894915254237288</v>
      </c>
      <c r="H68" s="3">
        <v>0.7562840042043182</v>
      </c>
      <c r="I68" s="3">
        <v>0.9621220734773606</v>
      </c>
      <c r="J68" s="3">
        <v>0.8772955246354268</v>
      </c>
      <c r="K68" s="3">
        <v>0.8468926553672317</v>
      </c>
      <c r="L68" s="3">
        <v>0.7834011201396386</v>
      </c>
    </row>
    <row r="69" spans="1:12">
      <c r="A69" t="s">
        <v>240</v>
      </c>
      <c r="B69">
        <v>3</v>
      </c>
      <c r="C69" t="s">
        <v>325</v>
      </c>
      <c r="D69" s="3">
        <v>0.7652161033145182</v>
      </c>
      <c r="E69" s="3">
        <v>0.9917924772926365</v>
      </c>
      <c r="F69" s="3">
        <v>0.9186949766669762</v>
      </c>
      <c r="G69" s="3">
        <v>0.8251572327044026</v>
      </c>
      <c r="H69" s="3">
        <v>0.6550479397618313</v>
      </c>
      <c r="I69" s="3">
        <v>0.9895247116435459</v>
      </c>
      <c r="J69" s="3">
        <v>0.8308610888401827</v>
      </c>
      <c r="K69" s="3">
        <v>0.7471698113207548</v>
      </c>
      <c r="L69" s="3">
        <v>0.795822359356877</v>
      </c>
    </row>
    <row r="70" spans="1:12">
      <c r="A70" t="s">
        <v>253</v>
      </c>
      <c r="B70">
        <v>0</v>
      </c>
      <c r="C70" t="s">
        <v>322</v>
      </c>
    </row>
    <row r="71" spans="1:12">
      <c r="A71" t="s">
        <v>253</v>
      </c>
      <c r="B71">
        <v>1</v>
      </c>
      <c r="C71" t="s">
        <v>323</v>
      </c>
      <c r="D71" s="3">
        <v>0.00109759311528373</v>
      </c>
      <c r="E71" s="3">
        <v>0.008267997251262484</v>
      </c>
      <c r="F71" s="3">
        <v>4.331044714081789E-06</v>
      </c>
      <c r="G71" s="3">
        <v>0.07392996108949415</v>
      </c>
      <c r="H71" s="3">
        <v>0.1549962565460021</v>
      </c>
      <c r="I71" s="3">
        <v>0.4838929332686738</v>
      </c>
      <c r="J71" s="3">
        <v>0.03950022497123743</v>
      </c>
      <c r="K71" s="3">
        <v>0.4381322957198444</v>
      </c>
      <c r="L71" s="3">
        <v>0.5261666129625868</v>
      </c>
    </row>
    <row r="72" spans="1:12">
      <c r="A72" t="s">
        <v>253</v>
      </c>
      <c r="B72">
        <v>2</v>
      </c>
      <c r="C72" t="s">
        <v>324</v>
      </c>
      <c r="D72" s="3">
        <v>0.008060271128050087</v>
      </c>
      <c r="E72" s="3">
        <v>0.05631420740013784</v>
      </c>
      <c r="F72" s="3">
        <v>4.18292779848327E-06</v>
      </c>
      <c r="G72" s="3">
        <v>0.2361581920903955</v>
      </c>
      <c r="H72" s="3">
        <v>0.5700357049087217</v>
      </c>
      <c r="I72" s="3">
        <v>0.7777188966204384</v>
      </c>
      <c r="J72" s="3">
        <v>0.6086634180584524</v>
      </c>
      <c r="K72" s="3">
        <v>0.8677966101694915</v>
      </c>
      <c r="L72" s="3">
        <v>0.6391394708294302</v>
      </c>
    </row>
    <row r="73" spans="1:12">
      <c r="A73" t="s">
        <v>253</v>
      </c>
      <c r="B73">
        <v>3</v>
      </c>
      <c r="C73" t="s">
        <v>325</v>
      </c>
      <c r="D73" s="3">
        <v>0.001581948431652098</v>
      </c>
      <c r="E73" s="3">
        <v>0.009335563506840755</v>
      </c>
      <c r="F73" s="3">
        <v>8.016964494287775E-05</v>
      </c>
      <c r="G73" s="3">
        <v>0.1490566037735849</v>
      </c>
      <c r="H73" s="3">
        <v>0.3856466691455591</v>
      </c>
      <c r="I73" s="3">
        <v>0.6621366459190346</v>
      </c>
      <c r="J73" s="3">
        <v>0.460417914109052</v>
      </c>
      <c r="K73" s="3">
        <v>0.8301886792452831</v>
      </c>
      <c r="L73" s="3">
        <v>0.1939851859813744</v>
      </c>
    </row>
    <row r="74" spans="1:12">
      <c r="A74" t="s">
        <v>261</v>
      </c>
      <c r="B74">
        <v>0</v>
      </c>
      <c r="C74" t="s">
        <v>322</v>
      </c>
    </row>
    <row r="75" spans="1:12">
      <c r="A75" t="s">
        <v>261</v>
      </c>
      <c r="B75">
        <v>1</v>
      </c>
      <c r="C75" t="s">
        <v>323</v>
      </c>
      <c r="D75" s="3">
        <v>0.4974874425879634</v>
      </c>
      <c r="E75" s="3">
        <v>0.8338956208980413</v>
      </c>
      <c r="F75" s="3">
        <v>0.4955539416158148</v>
      </c>
      <c r="G75" s="3">
        <v>0.7785992217898833</v>
      </c>
      <c r="H75" s="3">
        <v>0.2016873722679923</v>
      </c>
      <c r="I75" s="3">
        <v>0.558896369120119</v>
      </c>
      <c r="J75" s="3">
        <v>0.1087673930088544</v>
      </c>
      <c r="K75" s="3">
        <v>0.4443579766536965</v>
      </c>
      <c r="L75" s="3">
        <v>0.4580913761540127</v>
      </c>
    </row>
    <row r="76" spans="1:12">
      <c r="A76" t="s">
        <v>261</v>
      </c>
      <c r="B76">
        <v>2</v>
      </c>
      <c r="C76" t="s">
        <v>324</v>
      </c>
      <c r="D76" s="3">
        <v>0.851344361857222</v>
      </c>
      <c r="E76" s="3">
        <v>0.9525251891948658</v>
      </c>
      <c r="F76" s="3">
        <v>0.8975784018824364</v>
      </c>
      <c r="G76" s="3">
        <v>0.951412429378531</v>
      </c>
      <c r="H76" s="3">
        <v>0.8077702548176117</v>
      </c>
      <c r="I76" s="3">
        <v>0.9546053915770109</v>
      </c>
      <c r="J76" s="3">
        <v>0.8895738050344557</v>
      </c>
      <c r="K76" s="3">
        <v>0.8915254237288137</v>
      </c>
      <c r="L76" s="3">
        <v>0.7896015953347233</v>
      </c>
    </row>
    <row r="77" spans="1:12">
      <c r="A77" t="s">
        <v>261</v>
      </c>
      <c r="B77">
        <v>3</v>
      </c>
      <c r="C77" t="s">
        <v>325</v>
      </c>
      <c r="D77" s="3">
        <v>0.8585809121809176</v>
      </c>
      <c r="E77" s="3">
        <v>0.9920772783519813</v>
      </c>
      <c r="F77" s="3">
        <v>0.9723931793725268</v>
      </c>
      <c r="G77" s="3">
        <v>0.9056603773584906</v>
      </c>
      <c r="H77" s="3">
        <v>0.7848355086301763</v>
      </c>
      <c r="I77" s="3">
        <v>0.992924174479541</v>
      </c>
      <c r="J77" s="3">
        <v>0.9351838333556143</v>
      </c>
      <c r="K77" s="3">
        <v>0.8484276729559749</v>
      </c>
      <c r="L77" s="3">
        <v>0.8827603729432923</v>
      </c>
    </row>
    <row r="78" spans="1:12">
      <c r="A78" t="s">
        <v>268</v>
      </c>
      <c r="B78">
        <v>0</v>
      </c>
      <c r="C78" t="s">
        <v>322</v>
      </c>
    </row>
    <row r="79" spans="1:12">
      <c r="A79" t="s">
        <v>268</v>
      </c>
      <c r="B79">
        <v>1</v>
      </c>
      <c r="C79" t="s">
        <v>323</v>
      </c>
      <c r="D79" s="3">
        <v>0.0008704977530746281</v>
      </c>
      <c r="E79" s="3">
        <v>0.005809090729705784</v>
      </c>
      <c r="F79" s="3">
        <v>7.096975198200775E-07</v>
      </c>
      <c r="G79" s="3">
        <v>0.07198443579766536</v>
      </c>
      <c r="H79" s="3">
        <v>0.161656085871014</v>
      </c>
      <c r="I79" s="3">
        <v>0.5150103249646137</v>
      </c>
      <c r="J79" s="3">
        <v>0.06317276694975993</v>
      </c>
      <c r="K79" s="3">
        <v>0.4431906614785993</v>
      </c>
      <c r="L79" s="3">
        <v>0.5307426235043944</v>
      </c>
    </row>
    <row r="80" spans="1:12">
      <c r="A80" t="s">
        <v>268</v>
      </c>
      <c r="B80">
        <v>2</v>
      </c>
      <c r="C80" t="s">
        <v>324</v>
      </c>
      <c r="D80" s="3">
        <v>0.009302728316338309</v>
      </c>
      <c r="E80" s="3">
        <v>0.05984724384895342</v>
      </c>
      <c r="F80" s="3">
        <v>8.448176445450693E-06</v>
      </c>
      <c r="G80" s="3">
        <v>0.2440677966101695</v>
      </c>
      <c r="H80" s="3">
        <v>0.5217419275314574</v>
      </c>
      <c r="I80" s="3">
        <v>0.7259813788597566</v>
      </c>
      <c r="J80" s="3">
        <v>0.5554379777269236</v>
      </c>
      <c r="K80" s="3">
        <v>0.8779661016949154</v>
      </c>
      <c r="L80" s="3">
        <v>0.672526565712723</v>
      </c>
    </row>
    <row r="81" spans="1:12">
      <c r="A81" t="s">
        <v>268</v>
      </c>
      <c r="B81">
        <v>3</v>
      </c>
      <c r="C81" t="s">
        <v>325</v>
      </c>
      <c r="D81" s="3">
        <v>0.002054026649742906</v>
      </c>
      <c r="E81" s="3">
        <v>0.01330684046712245</v>
      </c>
      <c r="F81" s="3">
        <v>8.925601305915682E-05</v>
      </c>
      <c r="G81" s="3">
        <v>0.1559748427672956</v>
      </c>
      <c r="H81" s="3">
        <v>0.3787689615508258</v>
      </c>
      <c r="I81" s="3">
        <v>0.6254275108766424</v>
      </c>
      <c r="J81" s="3">
        <v>0.4162363510289723</v>
      </c>
      <c r="K81" s="3">
        <v>0.8327044025157232</v>
      </c>
      <c r="L81" s="3">
        <v>0.1664883400987291</v>
      </c>
    </row>
    <row r="82" spans="1:12">
      <c r="A82" t="s">
        <v>275</v>
      </c>
      <c r="B82">
        <v>0</v>
      </c>
      <c r="C82" t="s">
        <v>322</v>
      </c>
    </row>
    <row r="83" spans="1:12">
      <c r="A83" t="s">
        <v>275</v>
      </c>
      <c r="B83">
        <v>1</v>
      </c>
      <c r="C83" t="s">
        <v>323</v>
      </c>
      <c r="D83" s="3">
        <v>0.007789651983068401</v>
      </c>
      <c r="E83" s="3">
        <v>0.04208098432497756</v>
      </c>
      <c r="F83" s="3">
        <v>7.908011545331327E-05</v>
      </c>
      <c r="G83" s="3">
        <v>0.2237354085603113</v>
      </c>
      <c r="H83" s="3">
        <v>0.1512411030029982</v>
      </c>
      <c r="I83" s="3">
        <v>0.4724500975076368</v>
      </c>
      <c r="J83" s="3">
        <v>0.05025414230129154</v>
      </c>
      <c r="K83" s="3">
        <v>0.4416342412451362</v>
      </c>
      <c r="L83" s="3">
        <v>0.5127381109430559</v>
      </c>
    </row>
    <row r="84" spans="1:12">
      <c r="A84" t="s">
        <v>275</v>
      </c>
      <c r="B84">
        <v>2</v>
      </c>
      <c r="C84" t="s">
        <v>324</v>
      </c>
      <c r="D84" s="3">
        <v>0.04433705410403655</v>
      </c>
      <c r="E84" s="3">
        <v>0.2177564267190529</v>
      </c>
      <c r="F84" s="3">
        <v>0.001957111545062245</v>
      </c>
      <c r="G84" s="3">
        <v>0.4559322033898304</v>
      </c>
      <c r="H84" s="3">
        <v>0.552562428927114</v>
      </c>
      <c r="I84" s="3">
        <v>0.7433593764825551</v>
      </c>
      <c r="J84" s="3">
        <v>0.6086295157092998</v>
      </c>
      <c r="K84" s="3">
        <v>0.8824858757062147</v>
      </c>
      <c r="L84" s="3">
        <v>0.6454422039888391</v>
      </c>
    </row>
    <row r="85" spans="1:12">
      <c r="A85" t="s">
        <v>275</v>
      </c>
      <c r="B85">
        <v>3</v>
      </c>
      <c r="C85" t="s">
        <v>325</v>
      </c>
      <c r="D85" s="3">
        <v>0.0323595826347315</v>
      </c>
      <c r="E85" s="3">
        <v>0.1571968029617662</v>
      </c>
      <c r="F85" s="3">
        <v>0.00181747511599439</v>
      </c>
      <c r="G85" s="3">
        <v>0.3911949685534591</v>
      </c>
      <c r="H85" s="3">
        <v>0.369970703949433</v>
      </c>
      <c r="I85" s="3">
        <v>0.5902841651170487</v>
      </c>
      <c r="J85" s="3">
        <v>0.4207075173395494</v>
      </c>
      <c r="K85" s="3">
        <v>0.8477987421383648</v>
      </c>
      <c r="L85" s="3">
        <v>0.1285976423641059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S6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8" width="13.7109375" customWidth="1"/>
    <col min="9" max="13" width="14.7109375" style="4" customWidth="1"/>
    <col min="14" max="14" width="12.7109375" style="7" customWidth="1"/>
    <col min="15" max="17" width="18.7109375" customWidth="1"/>
    <col min="18" max="18" width="66.7109375" customWidth="1"/>
    <col min="19" max="19" width="80.7109375" style="5" customWidth="1"/>
  </cols>
  <sheetData>
    <row r="1" spans="1:19" s="1" customFormat="1" ht="36" customHeight="1">
      <c r="A1" s="1" t="s">
        <v>60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333</v>
      </c>
      <c r="O1" s="1" t="s">
        <v>91</v>
      </c>
      <c r="P1" s="1" t="s">
        <v>92</v>
      </c>
      <c r="Q1" s="1" t="s">
        <v>93</v>
      </c>
      <c r="R1" s="1" t="s">
        <v>102</v>
      </c>
      <c r="S1" s="1" t="s">
        <v>334</v>
      </c>
    </row>
    <row r="2" spans="1:19">
      <c r="A2" t="s">
        <v>109</v>
      </c>
      <c r="B2">
        <v>1</v>
      </c>
      <c r="C2">
        <v>1</v>
      </c>
      <c r="D2">
        <v>1</v>
      </c>
      <c r="E2" t="s">
        <v>335</v>
      </c>
      <c r="F2">
        <v>32</v>
      </c>
      <c r="G2">
        <v>20</v>
      </c>
      <c r="H2">
        <v>200</v>
      </c>
      <c r="I2" s="4">
        <v>46.0344894044465</v>
      </c>
      <c r="J2" s="4">
        <v>45.86536699935095</v>
      </c>
      <c r="K2" s="4">
        <v>48.09978469493217</v>
      </c>
      <c r="L2" s="4">
        <v>48.96911598167208</v>
      </c>
      <c r="M2" s="4">
        <v>1.657642504142132</v>
      </c>
      <c r="N2" s="7">
        <v>0.02527367882023654</v>
      </c>
      <c r="O2">
        <v>21.72284330590206</v>
      </c>
      <c r="P2">
        <v>941561856</v>
      </c>
      <c r="Q2">
        <v>1000341504</v>
      </c>
      <c r="R2" t="s">
        <v>119</v>
      </c>
      <c r="S2" s="5" t="s">
        <v>336</v>
      </c>
    </row>
    <row r="3" spans="1:19">
      <c r="A3" t="s">
        <v>109</v>
      </c>
      <c r="B3">
        <v>2</v>
      </c>
      <c r="C3">
        <v>1</v>
      </c>
      <c r="D3">
        <v>2</v>
      </c>
      <c r="E3" t="s">
        <v>335</v>
      </c>
      <c r="F3">
        <v>32</v>
      </c>
      <c r="G3">
        <v>20</v>
      </c>
      <c r="H3">
        <v>200</v>
      </c>
      <c r="I3" s="4">
        <v>45.99070742962795</v>
      </c>
      <c r="J3" s="4">
        <v>45.77418549888534</v>
      </c>
      <c r="K3" s="4">
        <v>48.67640809934528</v>
      </c>
      <c r="L3" s="4">
        <v>49.42274372020619</v>
      </c>
      <c r="M3" s="4">
        <v>1.627604751774925</v>
      </c>
      <c r="N3" s="7">
        <v>0.02970807531214678</v>
      </c>
      <c r="O3">
        <v>21.74352289601408</v>
      </c>
      <c r="P3">
        <v>941561856</v>
      </c>
      <c r="Q3">
        <v>1000341504</v>
      </c>
      <c r="R3" t="s">
        <v>119</v>
      </c>
      <c r="S3" s="5" t="s">
        <v>336</v>
      </c>
    </row>
    <row r="4" spans="1:19">
      <c r="A4" t="s">
        <v>109</v>
      </c>
      <c r="B4">
        <v>3</v>
      </c>
      <c r="C4">
        <v>1</v>
      </c>
      <c r="D4">
        <v>3</v>
      </c>
      <c r="E4" t="s">
        <v>335</v>
      </c>
      <c r="F4">
        <v>32</v>
      </c>
      <c r="G4">
        <v>20</v>
      </c>
      <c r="H4">
        <v>200</v>
      </c>
      <c r="I4" s="4">
        <v>46.04127945516666</v>
      </c>
      <c r="J4" s="4">
        <v>45.76235649801674</v>
      </c>
      <c r="K4" s="4">
        <v>48.64012205071049</v>
      </c>
      <c r="L4" s="4">
        <v>49.34069774593809</v>
      </c>
      <c r="M4" s="4">
        <v>1.662179998675128</v>
      </c>
      <c r="N4" s="7">
        <v>0.02868548719468954</v>
      </c>
      <c r="O4">
        <v>21.71963967625539</v>
      </c>
      <c r="P4">
        <v>941561856</v>
      </c>
      <c r="Q4">
        <v>1000341504</v>
      </c>
      <c r="R4" t="s">
        <v>119</v>
      </c>
      <c r="S4" s="5" t="s">
        <v>336</v>
      </c>
    </row>
    <row r="5" spans="1:19">
      <c r="A5" t="s">
        <v>122</v>
      </c>
      <c r="B5">
        <v>1</v>
      </c>
      <c r="C5">
        <v>1</v>
      </c>
      <c r="D5">
        <v>1</v>
      </c>
      <c r="E5" t="s">
        <v>335</v>
      </c>
      <c r="F5">
        <v>32</v>
      </c>
      <c r="G5">
        <v>20</v>
      </c>
      <c r="H5">
        <v>200</v>
      </c>
      <c r="I5" s="4">
        <v>25.69138671013206</v>
      </c>
      <c r="J5" s="4">
        <v>25.51087249958073</v>
      </c>
      <c r="K5" s="4">
        <v>27.93518299840798</v>
      </c>
      <c r="L5" s="4">
        <v>29.05236058584705</v>
      </c>
      <c r="M5" s="4">
        <v>1.425096746970667</v>
      </c>
      <c r="N5" s="7">
        <v>0.04456093319552127</v>
      </c>
      <c r="O5">
        <v>38.92355096603735</v>
      </c>
      <c r="P5">
        <v>941561856</v>
      </c>
      <c r="Q5">
        <v>1000341504</v>
      </c>
      <c r="R5" t="s">
        <v>129</v>
      </c>
      <c r="S5" s="5" t="s">
        <v>336</v>
      </c>
    </row>
    <row r="6" spans="1:19">
      <c r="A6" t="s">
        <v>122</v>
      </c>
      <c r="B6">
        <v>2</v>
      </c>
      <c r="C6">
        <v>1</v>
      </c>
      <c r="D6">
        <v>2</v>
      </c>
      <c r="E6" t="s">
        <v>335</v>
      </c>
      <c r="F6">
        <v>32</v>
      </c>
      <c r="G6">
        <v>20</v>
      </c>
      <c r="H6">
        <v>200</v>
      </c>
      <c r="I6" s="4">
        <v>26.66479708976112</v>
      </c>
      <c r="J6" s="4">
        <v>26.78608849964803</v>
      </c>
      <c r="K6" s="4">
        <v>28.28812274419761</v>
      </c>
      <c r="L6" s="4">
        <v>30.43728158292651</v>
      </c>
      <c r="M6" s="4">
        <v>1.743325505231041</v>
      </c>
      <c r="N6" s="7">
        <v>0.05441074885307341</v>
      </c>
      <c r="O6">
        <v>37.50262927685974</v>
      </c>
      <c r="P6">
        <v>941561856</v>
      </c>
      <c r="Q6">
        <v>1000341504</v>
      </c>
      <c r="R6" t="s">
        <v>129</v>
      </c>
      <c r="S6" s="5" t="s">
        <v>336</v>
      </c>
    </row>
    <row r="7" spans="1:19">
      <c r="A7" t="s">
        <v>122</v>
      </c>
      <c r="B7">
        <v>3</v>
      </c>
      <c r="C7">
        <v>1</v>
      </c>
      <c r="D7">
        <v>3</v>
      </c>
      <c r="E7" t="s">
        <v>335</v>
      </c>
      <c r="F7">
        <v>32</v>
      </c>
      <c r="G7">
        <v>20</v>
      </c>
      <c r="H7">
        <v>200</v>
      </c>
      <c r="I7" s="4">
        <v>25.7630138402601</v>
      </c>
      <c r="J7" s="4">
        <v>25.4791785046109</v>
      </c>
      <c r="K7" s="4">
        <v>28.1511956036411</v>
      </c>
      <c r="L7" s="4">
        <v>30.27444630635727</v>
      </c>
      <c r="M7" s="4">
        <v>0.9582774982845876</v>
      </c>
      <c r="N7" s="7">
        <v>0.04505843499754293</v>
      </c>
      <c r="O7">
        <v>38.81533450241333</v>
      </c>
      <c r="P7">
        <v>941561856</v>
      </c>
      <c r="Q7">
        <v>1000341504</v>
      </c>
      <c r="R7" t="s">
        <v>129</v>
      </c>
      <c r="S7" s="5" t="s">
        <v>336</v>
      </c>
    </row>
    <row r="8" spans="1:19">
      <c r="A8" t="s">
        <v>131</v>
      </c>
      <c r="B8">
        <v>1</v>
      </c>
      <c r="C8">
        <v>1</v>
      </c>
      <c r="D8">
        <v>1</v>
      </c>
      <c r="E8" t="s">
        <v>335</v>
      </c>
      <c r="F8">
        <v>32</v>
      </c>
      <c r="G8">
        <v>20</v>
      </c>
      <c r="H8">
        <v>200</v>
      </c>
      <c r="I8" s="4">
        <v>25.29866738466808</v>
      </c>
      <c r="J8" s="4">
        <v>25.11864050029544</v>
      </c>
      <c r="K8" s="4">
        <v>26.90240144838754</v>
      </c>
      <c r="L8" s="4">
        <v>27.59937002068909</v>
      </c>
      <c r="M8" s="4">
        <v>0.9922687531798147</v>
      </c>
      <c r="N8" s="7">
        <v>0.03547827860996634</v>
      </c>
      <c r="O8">
        <v>39.52777372795678</v>
      </c>
      <c r="P8">
        <v>941561856</v>
      </c>
      <c r="Q8">
        <v>1000341504</v>
      </c>
      <c r="R8" t="s">
        <v>137</v>
      </c>
      <c r="S8" s="5" t="s">
        <v>336</v>
      </c>
    </row>
    <row r="9" spans="1:19">
      <c r="A9" t="s">
        <v>131</v>
      </c>
      <c r="B9">
        <v>2</v>
      </c>
      <c r="C9">
        <v>1</v>
      </c>
      <c r="D9">
        <v>2</v>
      </c>
      <c r="E9" t="s">
        <v>335</v>
      </c>
      <c r="F9">
        <v>32</v>
      </c>
      <c r="G9">
        <v>20</v>
      </c>
      <c r="H9">
        <v>200</v>
      </c>
      <c r="I9" s="4">
        <v>26.30534266987524</v>
      </c>
      <c r="J9" s="4">
        <v>26.1370039988833</v>
      </c>
      <c r="K9" s="4">
        <v>28.73463655014348</v>
      </c>
      <c r="L9" s="4">
        <v>30.85342683916678</v>
      </c>
      <c r="M9" s="4">
        <v>1.968034252058715</v>
      </c>
      <c r="N9" s="7">
        <v>0.05323894627205675</v>
      </c>
      <c r="O9">
        <v>38.01509117557306</v>
      </c>
      <c r="P9">
        <v>941561856</v>
      </c>
      <c r="Q9">
        <v>1000341504</v>
      </c>
      <c r="R9" t="s">
        <v>137</v>
      </c>
      <c r="S9" s="5" t="s">
        <v>336</v>
      </c>
    </row>
    <row r="10" spans="1:19">
      <c r="A10" t="s">
        <v>131</v>
      </c>
      <c r="B10">
        <v>3</v>
      </c>
      <c r="C10">
        <v>1</v>
      </c>
      <c r="D10">
        <v>3</v>
      </c>
      <c r="E10" t="s">
        <v>335</v>
      </c>
      <c r="F10">
        <v>32</v>
      </c>
      <c r="G10">
        <v>20</v>
      </c>
      <c r="H10">
        <v>200</v>
      </c>
      <c r="I10" s="4">
        <v>25.48377473500295</v>
      </c>
      <c r="J10" s="4">
        <v>25.15864749875618</v>
      </c>
      <c r="K10" s="4">
        <v>27.78762464877218</v>
      </c>
      <c r="L10" s="4">
        <v>28.42212251096498</v>
      </c>
      <c r="M10" s="4">
        <v>1.232151998920017</v>
      </c>
      <c r="N10" s="7">
        <v>0.04304447378233704</v>
      </c>
      <c r="O10">
        <v>39.24065451051336</v>
      </c>
      <c r="P10">
        <v>941561856</v>
      </c>
      <c r="Q10">
        <v>1000341504</v>
      </c>
      <c r="R10" t="s">
        <v>137</v>
      </c>
      <c r="S10" s="5" t="s">
        <v>336</v>
      </c>
    </row>
    <row r="11" spans="1:19">
      <c r="A11" t="s">
        <v>147</v>
      </c>
      <c r="B11">
        <v>1</v>
      </c>
      <c r="C11">
        <v>1</v>
      </c>
      <c r="D11">
        <v>1</v>
      </c>
      <c r="E11" t="s">
        <v>335</v>
      </c>
      <c r="F11">
        <v>32</v>
      </c>
      <c r="G11">
        <v>20</v>
      </c>
      <c r="H11">
        <v>200</v>
      </c>
      <c r="I11" s="4">
        <v>25.63660784526292</v>
      </c>
      <c r="J11" s="4">
        <v>25.3719229986018</v>
      </c>
      <c r="K11" s="4">
        <v>27.50122624493088</v>
      </c>
      <c r="L11" s="4">
        <v>28.20199628695264</v>
      </c>
      <c r="M11" s="4">
        <v>1.421292505256133</v>
      </c>
      <c r="N11" s="7">
        <v>0.03978989089312616</v>
      </c>
      <c r="O11">
        <v>39.00672062527875</v>
      </c>
      <c r="P11">
        <v>941561856</v>
      </c>
      <c r="Q11">
        <v>1000341504</v>
      </c>
      <c r="R11" t="s">
        <v>153</v>
      </c>
      <c r="S11" s="5" t="s">
        <v>336</v>
      </c>
    </row>
    <row r="12" spans="1:19">
      <c r="A12" t="s">
        <v>147</v>
      </c>
      <c r="B12">
        <v>2</v>
      </c>
      <c r="C12">
        <v>1</v>
      </c>
      <c r="D12">
        <v>2</v>
      </c>
      <c r="E12" t="s">
        <v>335</v>
      </c>
      <c r="F12">
        <v>32</v>
      </c>
      <c r="G12">
        <v>20</v>
      </c>
      <c r="H12">
        <v>200</v>
      </c>
      <c r="I12" s="4">
        <v>25.30889130008291</v>
      </c>
      <c r="J12" s="4">
        <v>25.16890999686439</v>
      </c>
      <c r="K12" s="4">
        <v>26.84432420137454</v>
      </c>
      <c r="L12" s="4">
        <v>27.58182853947801</v>
      </c>
      <c r="M12" s="4">
        <v>0.8846877517498797</v>
      </c>
      <c r="N12" s="7">
        <v>0.03059169095322694</v>
      </c>
      <c r="O12">
        <v>39.51180587656656</v>
      </c>
      <c r="P12">
        <v>941561856</v>
      </c>
      <c r="Q12">
        <v>1000341504</v>
      </c>
      <c r="R12" t="s">
        <v>153</v>
      </c>
      <c r="S12" s="5" t="s">
        <v>336</v>
      </c>
    </row>
    <row r="13" spans="1:19">
      <c r="A13" t="s">
        <v>147</v>
      </c>
      <c r="B13">
        <v>3</v>
      </c>
      <c r="C13">
        <v>1</v>
      </c>
      <c r="D13">
        <v>3</v>
      </c>
      <c r="E13" t="s">
        <v>335</v>
      </c>
      <c r="F13">
        <v>32</v>
      </c>
      <c r="G13">
        <v>20</v>
      </c>
      <c r="H13">
        <v>200</v>
      </c>
      <c r="I13" s="4">
        <v>25.97051150962216</v>
      </c>
      <c r="J13" s="4">
        <v>25.65361950109946</v>
      </c>
      <c r="K13" s="4">
        <v>27.99715805194864</v>
      </c>
      <c r="L13" s="4">
        <v>28.46967560726625</v>
      </c>
      <c r="M13" s="4">
        <v>1.759294504154241</v>
      </c>
      <c r="N13" s="7">
        <v>0.0431917387930935</v>
      </c>
      <c r="O13">
        <v>38.50521001981408</v>
      </c>
      <c r="P13">
        <v>941561856</v>
      </c>
      <c r="Q13">
        <v>1000341504</v>
      </c>
      <c r="R13" t="s">
        <v>153</v>
      </c>
      <c r="S13" s="5" t="s">
        <v>336</v>
      </c>
    </row>
    <row r="14" spans="1:19">
      <c r="A14" t="s">
        <v>155</v>
      </c>
      <c r="B14">
        <v>1</v>
      </c>
      <c r="C14">
        <v>1</v>
      </c>
      <c r="D14">
        <v>1</v>
      </c>
      <c r="E14" t="s">
        <v>335</v>
      </c>
      <c r="F14">
        <v>32</v>
      </c>
      <c r="G14">
        <v>20</v>
      </c>
      <c r="H14">
        <v>200</v>
      </c>
      <c r="I14" s="4">
        <v>25.74377000000823</v>
      </c>
      <c r="J14" s="4">
        <v>25.14567700200132</v>
      </c>
      <c r="K14" s="4">
        <v>28.50366400562052</v>
      </c>
      <c r="L14" s="4">
        <v>37.81206419000227</v>
      </c>
      <c r="M14" s="4">
        <v>1.952905502548674</v>
      </c>
      <c r="N14" s="7">
        <v>0.08446929850661691</v>
      </c>
      <c r="O14">
        <v>38.84434952610594</v>
      </c>
      <c r="P14">
        <v>941561856</v>
      </c>
      <c r="Q14">
        <v>1000341504</v>
      </c>
      <c r="R14" t="s">
        <v>159</v>
      </c>
      <c r="S14" s="5" t="s">
        <v>336</v>
      </c>
    </row>
    <row r="15" spans="1:19">
      <c r="A15" t="s">
        <v>155</v>
      </c>
      <c r="B15">
        <v>2</v>
      </c>
      <c r="C15">
        <v>1</v>
      </c>
      <c r="D15">
        <v>2</v>
      </c>
      <c r="E15" t="s">
        <v>335</v>
      </c>
      <c r="F15">
        <v>32</v>
      </c>
      <c r="G15">
        <v>20</v>
      </c>
      <c r="H15">
        <v>200</v>
      </c>
      <c r="I15" s="4">
        <v>25.47602516027837</v>
      </c>
      <c r="J15" s="4">
        <v>25.21012199940742</v>
      </c>
      <c r="K15" s="4">
        <v>28.09033615048975</v>
      </c>
      <c r="L15" s="4">
        <v>28.38692466328211</v>
      </c>
      <c r="M15" s="4">
        <v>1.259672999367467</v>
      </c>
      <c r="N15" s="7">
        <v>0.04576274255134366</v>
      </c>
      <c r="O15">
        <v>39.2525911600675</v>
      </c>
      <c r="P15">
        <v>941561856</v>
      </c>
      <c r="Q15">
        <v>1000341504</v>
      </c>
      <c r="R15" t="s">
        <v>159</v>
      </c>
      <c r="S15" s="5" t="s">
        <v>336</v>
      </c>
    </row>
    <row r="16" spans="1:19">
      <c r="A16" t="s">
        <v>155</v>
      </c>
      <c r="B16">
        <v>3</v>
      </c>
      <c r="C16">
        <v>1</v>
      </c>
      <c r="D16">
        <v>3</v>
      </c>
      <c r="E16" t="s">
        <v>335</v>
      </c>
      <c r="F16">
        <v>32</v>
      </c>
      <c r="G16">
        <v>20</v>
      </c>
      <c r="H16">
        <v>200</v>
      </c>
      <c r="I16" s="4">
        <v>25.66243354478502</v>
      </c>
      <c r="J16" s="4">
        <v>25.42276549866074</v>
      </c>
      <c r="K16" s="4">
        <v>27.74882555095246</v>
      </c>
      <c r="L16" s="4">
        <v>28.75173205698956</v>
      </c>
      <c r="M16" s="4">
        <v>1.785902997653466</v>
      </c>
      <c r="N16" s="7">
        <v>0.0472775133780028</v>
      </c>
      <c r="O16">
        <v>38.96746574150271</v>
      </c>
      <c r="P16">
        <v>941561856</v>
      </c>
      <c r="Q16">
        <v>1000341504</v>
      </c>
      <c r="R16" t="s">
        <v>159</v>
      </c>
      <c r="S16" s="5" t="s">
        <v>336</v>
      </c>
    </row>
    <row r="17" spans="1:19">
      <c r="A17" t="s">
        <v>161</v>
      </c>
      <c r="B17">
        <v>1</v>
      </c>
      <c r="C17">
        <v>1</v>
      </c>
      <c r="D17">
        <v>1</v>
      </c>
      <c r="E17" t="s">
        <v>335</v>
      </c>
      <c r="F17">
        <v>32</v>
      </c>
      <c r="G17">
        <v>20</v>
      </c>
      <c r="H17">
        <v>200</v>
      </c>
      <c r="I17" s="4">
        <v>44.94487110005139</v>
      </c>
      <c r="J17" s="4">
        <v>44.88771649630507</v>
      </c>
      <c r="K17" s="4">
        <v>46.86551249978947</v>
      </c>
      <c r="L17" s="4">
        <v>48.21606067453104</v>
      </c>
      <c r="M17" s="4">
        <v>2.02892050583614</v>
      </c>
      <c r="N17" s="7">
        <v>0.02867006595251803</v>
      </c>
      <c r="O17">
        <v>22.24947976319498</v>
      </c>
      <c r="P17">
        <v>941561856</v>
      </c>
      <c r="Q17">
        <v>1000341504</v>
      </c>
      <c r="R17" t="s">
        <v>167</v>
      </c>
      <c r="S17" s="5" t="s">
        <v>336</v>
      </c>
    </row>
    <row r="18" spans="1:19">
      <c r="A18" t="s">
        <v>161</v>
      </c>
      <c r="B18">
        <v>2</v>
      </c>
      <c r="C18">
        <v>1</v>
      </c>
      <c r="D18">
        <v>2</v>
      </c>
      <c r="E18" t="s">
        <v>335</v>
      </c>
      <c r="F18">
        <v>32</v>
      </c>
      <c r="G18">
        <v>20</v>
      </c>
      <c r="H18">
        <v>200</v>
      </c>
      <c r="I18" s="4">
        <v>44.91223885968793</v>
      </c>
      <c r="J18" s="4">
        <v>44.78546350219403</v>
      </c>
      <c r="K18" s="4">
        <v>47.20936909507145</v>
      </c>
      <c r="L18" s="4">
        <v>47.7658747012174</v>
      </c>
      <c r="M18" s="4">
        <v>1.90973274402495</v>
      </c>
      <c r="N18" s="7">
        <v>0.02809008894669859</v>
      </c>
      <c r="O18">
        <v>22.26564574356088</v>
      </c>
      <c r="P18">
        <v>941561856</v>
      </c>
      <c r="Q18">
        <v>1000341504</v>
      </c>
      <c r="R18" t="s">
        <v>167</v>
      </c>
      <c r="S18" s="5" t="s">
        <v>336</v>
      </c>
    </row>
    <row r="19" spans="1:19">
      <c r="A19" t="s">
        <v>161</v>
      </c>
      <c r="B19">
        <v>3</v>
      </c>
      <c r="C19">
        <v>1</v>
      </c>
      <c r="D19">
        <v>3</v>
      </c>
      <c r="E19" t="s">
        <v>335</v>
      </c>
      <c r="F19">
        <v>32</v>
      </c>
      <c r="G19">
        <v>20</v>
      </c>
      <c r="H19">
        <v>200</v>
      </c>
      <c r="I19" s="4">
        <v>44.17432209447725</v>
      </c>
      <c r="J19" s="4">
        <v>43.94285649686935</v>
      </c>
      <c r="K19" s="4">
        <v>46.53375254529237</v>
      </c>
      <c r="L19" s="4">
        <v>47.26937744839233</v>
      </c>
      <c r="M19" s="4">
        <v>1.456366753700422</v>
      </c>
      <c r="N19" s="7">
        <v>0.02728049123503219</v>
      </c>
      <c r="O19">
        <v>22.63758565125828</v>
      </c>
      <c r="P19">
        <v>941561856</v>
      </c>
      <c r="Q19">
        <v>1000341504</v>
      </c>
      <c r="R19" t="s">
        <v>167</v>
      </c>
      <c r="S19" s="5" t="s">
        <v>336</v>
      </c>
    </row>
    <row r="20" spans="1:19">
      <c r="A20" t="s">
        <v>169</v>
      </c>
      <c r="B20">
        <v>1</v>
      </c>
      <c r="C20">
        <v>1</v>
      </c>
      <c r="D20">
        <v>1</v>
      </c>
      <c r="E20" t="s">
        <v>335</v>
      </c>
      <c r="F20">
        <v>32</v>
      </c>
      <c r="G20">
        <v>20</v>
      </c>
      <c r="H20">
        <v>200</v>
      </c>
      <c r="I20" s="4">
        <v>43.03896991990769</v>
      </c>
      <c r="J20" s="4">
        <v>42.77670200099237</v>
      </c>
      <c r="K20" s="4">
        <v>45.1640975457849</v>
      </c>
      <c r="L20" s="4">
        <v>45.97954993085295</v>
      </c>
      <c r="M20" s="4">
        <v>1.106106752558844</v>
      </c>
      <c r="N20" s="7">
        <v>0.02343223589160797</v>
      </c>
      <c r="O20">
        <v>23.23475682296592</v>
      </c>
      <c r="P20">
        <v>941561856</v>
      </c>
      <c r="Q20">
        <v>1000341504</v>
      </c>
      <c r="R20" t="s">
        <v>173</v>
      </c>
      <c r="S20" s="5" t="s">
        <v>336</v>
      </c>
    </row>
    <row r="21" spans="1:19">
      <c r="A21" t="s">
        <v>169</v>
      </c>
      <c r="B21">
        <v>2</v>
      </c>
      <c r="C21">
        <v>1</v>
      </c>
      <c r="D21">
        <v>2</v>
      </c>
      <c r="E21" t="s">
        <v>335</v>
      </c>
      <c r="F21">
        <v>32</v>
      </c>
      <c r="G21">
        <v>20</v>
      </c>
      <c r="H21">
        <v>200</v>
      </c>
      <c r="I21" s="4">
        <v>43.4255128201039</v>
      </c>
      <c r="J21" s="4">
        <v>43.21196299861185</v>
      </c>
      <c r="K21" s="4">
        <v>45.41023835299711</v>
      </c>
      <c r="L21" s="4">
        <v>46.09750341558538</v>
      </c>
      <c r="M21" s="4">
        <v>1.165484747616574</v>
      </c>
      <c r="N21" s="7">
        <v>0.02301917785837396</v>
      </c>
      <c r="O21">
        <v>23.02793761221971</v>
      </c>
      <c r="P21">
        <v>941561856</v>
      </c>
      <c r="Q21">
        <v>1000341504</v>
      </c>
      <c r="R21" t="s">
        <v>173</v>
      </c>
      <c r="S21" s="5" t="s">
        <v>336</v>
      </c>
    </row>
    <row r="22" spans="1:19">
      <c r="A22" t="s">
        <v>169</v>
      </c>
      <c r="B22">
        <v>3</v>
      </c>
      <c r="C22">
        <v>1</v>
      </c>
      <c r="D22">
        <v>3</v>
      </c>
      <c r="E22" t="s">
        <v>335</v>
      </c>
      <c r="F22">
        <v>32</v>
      </c>
      <c r="G22">
        <v>20</v>
      </c>
      <c r="H22">
        <v>200</v>
      </c>
      <c r="I22" s="4">
        <v>42.86413266509044</v>
      </c>
      <c r="J22" s="4">
        <v>42.82588899877737</v>
      </c>
      <c r="K22" s="4">
        <v>44.38225725498341</v>
      </c>
      <c r="L22" s="4">
        <v>44.89675652970618</v>
      </c>
      <c r="M22" s="4">
        <v>1.144360752732609</v>
      </c>
      <c r="N22" s="7">
        <v>0.01997197416868352</v>
      </c>
      <c r="O22">
        <v>23.32952839179745</v>
      </c>
      <c r="P22">
        <v>941561856</v>
      </c>
      <c r="Q22">
        <v>1000341504</v>
      </c>
      <c r="R22" t="s">
        <v>173</v>
      </c>
      <c r="S22" s="5" t="s">
        <v>336</v>
      </c>
    </row>
    <row r="23" spans="1:19">
      <c r="A23" t="s">
        <v>177</v>
      </c>
      <c r="B23">
        <v>1</v>
      </c>
      <c r="C23">
        <v>1</v>
      </c>
      <c r="D23">
        <v>1</v>
      </c>
      <c r="E23" t="s">
        <v>335</v>
      </c>
      <c r="F23">
        <v>32</v>
      </c>
      <c r="G23">
        <v>20</v>
      </c>
      <c r="H23">
        <v>200</v>
      </c>
      <c r="I23" s="4">
        <v>46.13614516980306</v>
      </c>
      <c r="J23" s="4">
        <v>46.06487750061206</v>
      </c>
      <c r="K23" s="4">
        <v>48.09166690502025</v>
      </c>
      <c r="L23" s="4">
        <v>49.0927891501633</v>
      </c>
      <c r="M23" s="4">
        <v>1.548978001665091</v>
      </c>
      <c r="N23" s="7">
        <v>0.02539143208976384</v>
      </c>
      <c r="O23">
        <v>21.67497948342936</v>
      </c>
      <c r="P23">
        <v>941561856</v>
      </c>
      <c r="Q23">
        <v>1000341504</v>
      </c>
      <c r="R23" t="s">
        <v>181</v>
      </c>
      <c r="S23" s="5" t="s">
        <v>336</v>
      </c>
    </row>
    <row r="24" spans="1:19">
      <c r="A24" t="s">
        <v>177</v>
      </c>
      <c r="B24">
        <v>2</v>
      </c>
      <c r="C24">
        <v>1</v>
      </c>
      <c r="D24">
        <v>2</v>
      </c>
      <c r="E24" t="s">
        <v>335</v>
      </c>
      <c r="F24">
        <v>32</v>
      </c>
      <c r="G24">
        <v>20</v>
      </c>
      <c r="H24">
        <v>200</v>
      </c>
      <c r="I24" s="4">
        <v>45.72785710995959</v>
      </c>
      <c r="J24" s="4">
        <v>45.61638949599001</v>
      </c>
      <c r="K24" s="4">
        <v>47.48909954614646</v>
      </c>
      <c r="L24" s="4">
        <v>48.47985192594933</v>
      </c>
      <c r="M24" s="4">
        <v>1.23305499801063</v>
      </c>
      <c r="N24" s="7">
        <v>0.02221489744472515</v>
      </c>
      <c r="O24">
        <v>21.86850780248346</v>
      </c>
      <c r="P24">
        <v>941561856</v>
      </c>
      <c r="Q24">
        <v>1000341504</v>
      </c>
      <c r="R24" t="s">
        <v>181</v>
      </c>
      <c r="S24" s="5" t="s">
        <v>336</v>
      </c>
    </row>
    <row r="25" spans="1:19">
      <c r="A25" t="s">
        <v>177</v>
      </c>
      <c r="B25">
        <v>3</v>
      </c>
      <c r="C25">
        <v>1</v>
      </c>
      <c r="D25">
        <v>3</v>
      </c>
      <c r="E25" t="s">
        <v>335</v>
      </c>
      <c r="F25">
        <v>32</v>
      </c>
      <c r="G25">
        <v>20</v>
      </c>
      <c r="H25">
        <v>200</v>
      </c>
      <c r="I25" s="4">
        <v>45.8059498050352</v>
      </c>
      <c r="J25" s="4">
        <v>45.5948039998475</v>
      </c>
      <c r="K25" s="4">
        <v>48.16715639717586</v>
      </c>
      <c r="L25" s="4">
        <v>48.8723391455278</v>
      </c>
      <c r="M25" s="4">
        <v>1.835493749240413</v>
      </c>
      <c r="N25" s="7">
        <v>0.02782180073509962</v>
      </c>
      <c r="O25">
        <v>21.83122507570131</v>
      </c>
      <c r="P25">
        <v>941561856</v>
      </c>
      <c r="Q25">
        <v>1000341504</v>
      </c>
      <c r="R25" t="s">
        <v>181</v>
      </c>
      <c r="S25" s="5" t="s">
        <v>336</v>
      </c>
    </row>
    <row r="26" spans="1:19">
      <c r="A26" t="s">
        <v>183</v>
      </c>
      <c r="B26">
        <v>1</v>
      </c>
      <c r="C26">
        <v>1</v>
      </c>
      <c r="D26">
        <v>1</v>
      </c>
      <c r="E26" t="s">
        <v>335</v>
      </c>
      <c r="F26">
        <v>32</v>
      </c>
      <c r="G26">
        <v>20</v>
      </c>
      <c r="H26">
        <v>200</v>
      </c>
      <c r="I26" s="4">
        <v>25.40389592511929</v>
      </c>
      <c r="J26" s="4">
        <v>25.12693950120592</v>
      </c>
      <c r="K26" s="4">
        <v>27.34084410476498</v>
      </c>
      <c r="L26" s="4">
        <v>27.62387788512569</v>
      </c>
      <c r="M26" s="4">
        <v>1.68411649610789</v>
      </c>
      <c r="N26" s="7">
        <v>0.04361516256284691</v>
      </c>
      <c r="O26">
        <v>39.36404097023573</v>
      </c>
      <c r="P26">
        <v>941561856</v>
      </c>
      <c r="Q26">
        <v>1000341504</v>
      </c>
      <c r="R26" t="s">
        <v>189</v>
      </c>
      <c r="S26" s="5" t="s">
        <v>336</v>
      </c>
    </row>
    <row r="27" spans="1:19">
      <c r="A27" t="s">
        <v>183</v>
      </c>
      <c r="B27">
        <v>2</v>
      </c>
      <c r="C27">
        <v>1</v>
      </c>
      <c r="D27">
        <v>2</v>
      </c>
      <c r="E27" t="s">
        <v>335</v>
      </c>
      <c r="F27">
        <v>32</v>
      </c>
      <c r="G27">
        <v>20</v>
      </c>
      <c r="H27">
        <v>200</v>
      </c>
      <c r="I27" s="4">
        <v>25.07744679973257</v>
      </c>
      <c r="J27" s="4">
        <v>24.9038269976154</v>
      </c>
      <c r="K27" s="4">
        <v>26.54747205087915</v>
      </c>
      <c r="L27" s="4">
        <v>27.83942706519155</v>
      </c>
      <c r="M27" s="4">
        <v>0.8742884983803378</v>
      </c>
      <c r="N27" s="7">
        <v>0.03507694786772426</v>
      </c>
      <c r="O27">
        <v>39.87646780734728</v>
      </c>
      <c r="P27">
        <v>941561856</v>
      </c>
      <c r="Q27">
        <v>1000341504</v>
      </c>
      <c r="R27" t="s">
        <v>189</v>
      </c>
      <c r="S27" s="5" t="s">
        <v>336</v>
      </c>
    </row>
    <row r="28" spans="1:19">
      <c r="A28" t="s">
        <v>183</v>
      </c>
      <c r="B28">
        <v>3</v>
      </c>
      <c r="C28">
        <v>1</v>
      </c>
      <c r="D28">
        <v>3</v>
      </c>
      <c r="E28" t="s">
        <v>335</v>
      </c>
      <c r="F28">
        <v>32</v>
      </c>
      <c r="G28">
        <v>20</v>
      </c>
      <c r="H28">
        <v>200</v>
      </c>
      <c r="I28" s="4">
        <v>26.18342042995209</v>
      </c>
      <c r="J28" s="4">
        <v>26.28336850102642</v>
      </c>
      <c r="K28" s="4">
        <v>27.75356469974213</v>
      </c>
      <c r="L28" s="4">
        <v>28.43606087772059</v>
      </c>
      <c r="M28" s="4">
        <v>1.634237003599992</v>
      </c>
      <c r="N28" s="7">
        <v>0.04028892695407128</v>
      </c>
      <c r="O28">
        <v>38.1921072029255</v>
      </c>
      <c r="P28">
        <v>941561856</v>
      </c>
      <c r="Q28">
        <v>1000341504</v>
      </c>
      <c r="R28" t="s">
        <v>189</v>
      </c>
      <c r="S28" s="5" t="s">
        <v>336</v>
      </c>
    </row>
    <row r="29" spans="1:19">
      <c r="A29" t="s">
        <v>191</v>
      </c>
      <c r="B29">
        <v>1</v>
      </c>
      <c r="C29">
        <v>1</v>
      </c>
      <c r="D29">
        <v>1</v>
      </c>
      <c r="E29" t="s">
        <v>335</v>
      </c>
      <c r="F29">
        <v>32</v>
      </c>
      <c r="G29">
        <v>20</v>
      </c>
      <c r="H29">
        <v>200</v>
      </c>
      <c r="I29" s="4">
        <v>26.13638861523214</v>
      </c>
      <c r="J29" s="4">
        <v>26.37079200212611</v>
      </c>
      <c r="K29" s="4">
        <v>27.4976800497825</v>
      </c>
      <c r="L29" s="4">
        <v>28.31430175720016</v>
      </c>
      <c r="M29" s="4">
        <v>1.398978500219528</v>
      </c>
      <c r="N29" s="7">
        <v>0.03827829136202685</v>
      </c>
      <c r="O29">
        <v>38.26083299883312</v>
      </c>
      <c r="P29">
        <v>941561856</v>
      </c>
      <c r="Q29">
        <v>1000341504</v>
      </c>
      <c r="R29" t="s">
        <v>195</v>
      </c>
      <c r="S29" s="5" t="s">
        <v>336</v>
      </c>
    </row>
    <row r="30" spans="1:19">
      <c r="A30" t="s">
        <v>191</v>
      </c>
      <c r="B30">
        <v>2</v>
      </c>
      <c r="C30">
        <v>1</v>
      </c>
      <c r="D30">
        <v>2</v>
      </c>
      <c r="E30" t="s">
        <v>335</v>
      </c>
      <c r="F30">
        <v>32</v>
      </c>
      <c r="G30">
        <v>20</v>
      </c>
      <c r="H30">
        <v>200</v>
      </c>
      <c r="I30" s="4">
        <v>25.96697777971713</v>
      </c>
      <c r="J30" s="4">
        <v>26.09689199744025</v>
      </c>
      <c r="K30" s="4">
        <v>27.24489640204411</v>
      </c>
      <c r="L30" s="4">
        <v>27.94653781667876</v>
      </c>
      <c r="M30" s="4">
        <v>1.260157501747017</v>
      </c>
      <c r="N30" s="7">
        <v>0.03735642318755897</v>
      </c>
      <c r="O30">
        <v>38.51045002168495</v>
      </c>
      <c r="P30">
        <v>941561856</v>
      </c>
      <c r="Q30">
        <v>1000341504</v>
      </c>
      <c r="R30" t="s">
        <v>195</v>
      </c>
      <c r="S30" s="5" t="s">
        <v>336</v>
      </c>
    </row>
    <row r="31" spans="1:19">
      <c r="A31" t="s">
        <v>191</v>
      </c>
      <c r="B31">
        <v>3</v>
      </c>
      <c r="C31">
        <v>1</v>
      </c>
      <c r="D31">
        <v>3</v>
      </c>
      <c r="E31" t="s">
        <v>335</v>
      </c>
      <c r="F31">
        <v>32</v>
      </c>
      <c r="G31">
        <v>20</v>
      </c>
      <c r="H31">
        <v>200</v>
      </c>
      <c r="I31" s="4">
        <v>25.89996900955157</v>
      </c>
      <c r="J31" s="4">
        <v>25.93121999962023</v>
      </c>
      <c r="K31" s="4">
        <v>27.39975664771919</v>
      </c>
      <c r="L31" s="4">
        <v>27.81931756835547</v>
      </c>
      <c r="M31" s="4">
        <v>1.529296745502506</v>
      </c>
      <c r="N31" s="7">
        <v>0.03800433884103232</v>
      </c>
      <c r="O31">
        <v>38.61008480864255</v>
      </c>
      <c r="P31">
        <v>941561856</v>
      </c>
      <c r="Q31">
        <v>1000341504</v>
      </c>
      <c r="R31" t="s">
        <v>195</v>
      </c>
      <c r="S31" s="5" t="s">
        <v>336</v>
      </c>
    </row>
    <row r="32" spans="1:19">
      <c r="A32" t="s">
        <v>197</v>
      </c>
      <c r="B32">
        <v>1</v>
      </c>
      <c r="C32">
        <v>1</v>
      </c>
      <c r="D32">
        <v>1</v>
      </c>
      <c r="E32" t="s">
        <v>335</v>
      </c>
      <c r="F32">
        <v>32</v>
      </c>
      <c r="G32">
        <v>20</v>
      </c>
      <c r="H32">
        <v>200</v>
      </c>
      <c r="I32" s="4">
        <v>36.07832019519265</v>
      </c>
      <c r="J32" s="4">
        <v>36.10285100148758</v>
      </c>
      <c r="K32" s="4">
        <v>38.1939691498701</v>
      </c>
      <c r="L32" s="4">
        <v>39.10724261950236</v>
      </c>
      <c r="M32" s="4">
        <v>2.357509249122813</v>
      </c>
      <c r="N32" s="7">
        <v>0.03857222241209403</v>
      </c>
      <c r="O32">
        <v>27.71747671703539</v>
      </c>
      <c r="P32">
        <v>936573952</v>
      </c>
      <c r="Q32">
        <v>977272832</v>
      </c>
      <c r="R32" t="s">
        <v>203</v>
      </c>
      <c r="S32" s="5" t="s">
        <v>336</v>
      </c>
    </row>
    <row r="33" spans="1:19">
      <c r="A33" t="s">
        <v>197</v>
      </c>
      <c r="B33">
        <v>2</v>
      </c>
      <c r="C33">
        <v>1</v>
      </c>
      <c r="D33">
        <v>2</v>
      </c>
      <c r="E33" t="s">
        <v>335</v>
      </c>
      <c r="F33">
        <v>32</v>
      </c>
      <c r="G33">
        <v>20</v>
      </c>
      <c r="H33">
        <v>200</v>
      </c>
      <c r="I33" s="4">
        <v>36.23329845006083</v>
      </c>
      <c r="J33" s="4">
        <v>36.37602900198544</v>
      </c>
      <c r="K33" s="4">
        <v>37.65809490578249</v>
      </c>
      <c r="L33" s="4">
        <v>38.2636112414184</v>
      </c>
      <c r="M33" s="4">
        <v>1.422168248609523</v>
      </c>
      <c r="N33" s="7">
        <v>0.02727513664803722</v>
      </c>
      <c r="O33">
        <v>27.59892261473979</v>
      </c>
      <c r="P33">
        <v>936573952</v>
      </c>
      <c r="Q33">
        <v>977272832</v>
      </c>
      <c r="R33" t="s">
        <v>203</v>
      </c>
      <c r="S33" s="5" t="s">
        <v>336</v>
      </c>
    </row>
    <row r="34" spans="1:19">
      <c r="A34" t="s">
        <v>197</v>
      </c>
      <c r="B34">
        <v>3</v>
      </c>
      <c r="C34">
        <v>1</v>
      </c>
      <c r="D34">
        <v>3</v>
      </c>
      <c r="E34" t="s">
        <v>335</v>
      </c>
      <c r="F34">
        <v>32</v>
      </c>
      <c r="G34">
        <v>20</v>
      </c>
      <c r="H34">
        <v>200</v>
      </c>
      <c r="I34" s="4">
        <v>36.31526332505018</v>
      </c>
      <c r="J34" s="4">
        <v>36.43458350052242</v>
      </c>
      <c r="K34" s="4">
        <v>37.45485285035102</v>
      </c>
      <c r="L34" s="4">
        <v>37.8881141023885</v>
      </c>
      <c r="M34" s="4">
        <v>1.251310253792326</v>
      </c>
      <c r="N34" s="7">
        <v>0.02423886303974464</v>
      </c>
      <c r="O34">
        <v>27.53663083891787</v>
      </c>
      <c r="P34">
        <v>936573952</v>
      </c>
      <c r="Q34">
        <v>977272832</v>
      </c>
      <c r="R34" t="s">
        <v>203</v>
      </c>
      <c r="S34" s="5" t="s">
        <v>336</v>
      </c>
    </row>
    <row r="35" spans="1:19">
      <c r="A35" t="s">
        <v>205</v>
      </c>
      <c r="B35">
        <v>1</v>
      </c>
      <c r="C35">
        <v>1</v>
      </c>
      <c r="D35">
        <v>1</v>
      </c>
      <c r="E35" t="s">
        <v>335</v>
      </c>
      <c r="F35">
        <v>32</v>
      </c>
      <c r="G35">
        <v>20</v>
      </c>
      <c r="H35">
        <v>200</v>
      </c>
      <c r="I35" s="4">
        <v>41.9324560351015</v>
      </c>
      <c r="J35" s="4">
        <v>42.05381450083223</v>
      </c>
      <c r="K35" s="4">
        <v>43.24896545440424</v>
      </c>
      <c r="L35" s="4">
        <v>43.68302805829444</v>
      </c>
      <c r="M35" s="4">
        <v>1.086249250874971</v>
      </c>
      <c r="N35" s="7">
        <v>0.02158071186294658</v>
      </c>
      <c r="O35">
        <v>23.84787571619711</v>
      </c>
      <c r="P35">
        <v>939813376</v>
      </c>
      <c r="Q35">
        <v>981467136</v>
      </c>
      <c r="R35" t="s">
        <v>210</v>
      </c>
      <c r="S35" s="5" t="s">
        <v>336</v>
      </c>
    </row>
    <row r="36" spans="1:19">
      <c r="A36" t="s">
        <v>205</v>
      </c>
      <c r="B36">
        <v>2</v>
      </c>
      <c r="C36">
        <v>1</v>
      </c>
      <c r="D36">
        <v>2</v>
      </c>
      <c r="E36" t="s">
        <v>335</v>
      </c>
      <c r="F36">
        <v>32</v>
      </c>
      <c r="G36">
        <v>20</v>
      </c>
      <c r="H36">
        <v>200</v>
      </c>
      <c r="I36" s="4">
        <v>41.67228156456986</v>
      </c>
      <c r="J36" s="4">
        <v>41.9712895018165</v>
      </c>
      <c r="K36" s="4">
        <v>43.19280085219361</v>
      </c>
      <c r="L36" s="4">
        <v>43.63077865695232</v>
      </c>
      <c r="M36" s="4">
        <v>1.770108248820179</v>
      </c>
      <c r="N36" s="7">
        <v>0.02700992739314245</v>
      </c>
      <c r="O36">
        <v>23.99676625457937</v>
      </c>
      <c r="P36">
        <v>939813376</v>
      </c>
      <c r="Q36">
        <v>981467136</v>
      </c>
      <c r="R36" t="s">
        <v>210</v>
      </c>
      <c r="S36" s="5" t="s">
        <v>336</v>
      </c>
    </row>
    <row r="37" spans="1:19">
      <c r="A37" t="s">
        <v>205</v>
      </c>
      <c r="B37">
        <v>3</v>
      </c>
      <c r="C37">
        <v>1</v>
      </c>
      <c r="D37">
        <v>3</v>
      </c>
      <c r="E37" t="s">
        <v>335</v>
      </c>
      <c r="F37">
        <v>32</v>
      </c>
      <c r="G37">
        <v>20</v>
      </c>
      <c r="H37">
        <v>200</v>
      </c>
      <c r="I37" s="4">
        <v>41.67631771986635</v>
      </c>
      <c r="J37" s="4">
        <v>41.8413654952019</v>
      </c>
      <c r="K37" s="4">
        <v>42.95488040224882</v>
      </c>
      <c r="L37" s="4">
        <v>43.29426032207266</v>
      </c>
      <c r="M37" s="4">
        <v>1.147066497651394</v>
      </c>
      <c r="N37" s="7">
        <v>0.02190701044693901</v>
      </c>
      <c r="O37">
        <v>23.99444228066526</v>
      </c>
      <c r="P37">
        <v>939813376</v>
      </c>
      <c r="Q37">
        <v>981467136</v>
      </c>
      <c r="R37" t="s">
        <v>210</v>
      </c>
      <c r="S37" s="5" t="s">
        <v>336</v>
      </c>
    </row>
    <row r="38" spans="1:19">
      <c r="A38" t="s">
        <v>212</v>
      </c>
      <c r="B38">
        <v>1</v>
      </c>
      <c r="C38">
        <v>1</v>
      </c>
      <c r="D38">
        <v>1</v>
      </c>
      <c r="E38" t="s">
        <v>335</v>
      </c>
      <c r="F38">
        <v>32</v>
      </c>
      <c r="G38">
        <v>20</v>
      </c>
      <c r="H38">
        <v>200</v>
      </c>
      <c r="I38" s="4">
        <v>23.40962337515521</v>
      </c>
      <c r="J38" s="4">
        <v>23.20881550258491</v>
      </c>
      <c r="K38" s="4">
        <v>25.31649249940529</v>
      </c>
      <c r="L38" s="4">
        <v>25.5564777431573</v>
      </c>
      <c r="M38" s="4">
        <v>0.910753244170337</v>
      </c>
      <c r="N38" s="7">
        <v>0.03732010753698589</v>
      </c>
      <c r="O38">
        <v>42.71747494499663</v>
      </c>
      <c r="P38">
        <v>936573952</v>
      </c>
      <c r="Q38">
        <v>977272832</v>
      </c>
      <c r="R38" t="s">
        <v>218</v>
      </c>
      <c r="S38" s="5" t="s">
        <v>336</v>
      </c>
    </row>
    <row r="39" spans="1:19">
      <c r="A39" t="s">
        <v>212</v>
      </c>
      <c r="B39">
        <v>2</v>
      </c>
      <c r="C39">
        <v>1</v>
      </c>
      <c r="D39">
        <v>2</v>
      </c>
      <c r="E39" t="s">
        <v>335</v>
      </c>
      <c r="F39">
        <v>32</v>
      </c>
      <c r="G39">
        <v>20</v>
      </c>
      <c r="H39">
        <v>200</v>
      </c>
      <c r="I39" s="4">
        <v>24.88361006042396</v>
      </c>
      <c r="J39" s="4">
        <v>25.01207099703606</v>
      </c>
      <c r="K39" s="4">
        <v>25.94092195540725</v>
      </c>
      <c r="L39" s="4">
        <v>26.43697994106333</v>
      </c>
      <c r="M39" s="4">
        <v>0.9762264980963664</v>
      </c>
      <c r="N39" s="7">
        <v>0.03215090820091026</v>
      </c>
      <c r="O39">
        <v>40.18709494208181</v>
      </c>
      <c r="P39">
        <v>936573952</v>
      </c>
      <c r="Q39">
        <v>977272832</v>
      </c>
      <c r="R39" t="s">
        <v>218</v>
      </c>
      <c r="S39" s="5" t="s">
        <v>336</v>
      </c>
    </row>
    <row r="40" spans="1:19">
      <c r="A40" t="s">
        <v>212</v>
      </c>
      <c r="B40">
        <v>3</v>
      </c>
      <c r="C40">
        <v>1</v>
      </c>
      <c r="D40">
        <v>3</v>
      </c>
      <c r="E40" t="s">
        <v>335</v>
      </c>
      <c r="F40">
        <v>32</v>
      </c>
      <c r="G40">
        <v>20</v>
      </c>
      <c r="H40">
        <v>200</v>
      </c>
      <c r="I40" s="4">
        <v>24.0221716951055</v>
      </c>
      <c r="J40" s="4">
        <v>23.80835700023454</v>
      </c>
      <c r="K40" s="4">
        <v>25.94747680195724</v>
      </c>
      <c r="L40" s="4">
        <v>26.84546808261075</v>
      </c>
      <c r="M40" s="4">
        <v>1.850382994234678</v>
      </c>
      <c r="N40" s="7">
        <v>0.04789630150857147</v>
      </c>
      <c r="O40">
        <v>41.62820966781073</v>
      </c>
      <c r="P40">
        <v>936573952</v>
      </c>
      <c r="Q40">
        <v>977272832</v>
      </c>
      <c r="R40" t="s">
        <v>218</v>
      </c>
      <c r="S40" s="5" t="s">
        <v>336</v>
      </c>
    </row>
    <row r="41" spans="1:19">
      <c r="A41" t="s">
        <v>220</v>
      </c>
      <c r="B41">
        <v>1</v>
      </c>
      <c r="C41">
        <v>1</v>
      </c>
      <c r="D41">
        <v>1</v>
      </c>
      <c r="E41" t="s">
        <v>335</v>
      </c>
      <c r="F41">
        <v>32</v>
      </c>
      <c r="G41">
        <v>20</v>
      </c>
      <c r="H41">
        <v>200</v>
      </c>
      <c r="I41" s="4">
        <v>43.07042928507144</v>
      </c>
      <c r="J41" s="4">
        <v>43.12465450129821</v>
      </c>
      <c r="K41" s="4">
        <v>44.55484250211157</v>
      </c>
      <c r="L41" s="4">
        <v>45.04400749581691</v>
      </c>
      <c r="M41" s="4">
        <v>1.217316750626196</v>
      </c>
      <c r="N41" s="7">
        <v>0.02277077311351611</v>
      </c>
      <c r="O41">
        <v>23.21778576622193</v>
      </c>
      <c r="P41">
        <v>939813376</v>
      </c>
      <c r="Q41">
        <v>981467136</v>
      </c>
      <c r="R41" t="s">
        <v>224</v>
      </c>
      <c r="S41" s="5" t="s">
        <v>336</v>
      </c>
    </row>
    <row r="42" spans="1:19">
      <c r="A42" t="s">
        <v>220</v>
      </c>
      <c r="B42">
        <v>2</v>
      </c>
      <c r="C42">
        <v>1</v>
      </c>
      <c r="D42">
        <v>2</v>
      </c>
      <c r="E42" t="s">
        <v>335</v>
      </c>
      <c r="F42">
        <v>32</v>
      </c>
      <c r="G42">
        <v>20</v>
      </c>
      <c r="H42">
        <v>200</v>
      </c>
      <c r="I42" s="4">
        <v>42.3837356500735</v>
      </c>
      <c r="J42" s="4">
        <v>42.1917415005737</v>
      </c>
      <c r="K42" s="4">
        <v>44.61521409793932</v>
      </c>
      <c r="L42" s="4">
        <v>46.73372403078246</v>
      </c>
      <c r="M42" s="4">
        <v>2.338799502467737</v>
      </c>
      <c r="N42" s="7">
        <v>0.03533474170589488</v>
      </c>
      <c r="O42">
        <v>23.59395614053821</v>
      </c>
      <c r="P42">
        <v>939813376</v>
      </c>
      <c r="Q42">
        <v>981467136</v>
      </c>
      <c r="R42" t="s">
        <v>224</v>
      </c>
      <c r="S42" s="5" t="s">
        <v>336</v>
      </c>
    </row>
    <row r="43" spans="1:19">
      <c r="A43" t="s">
        <v>220</v>
      </c>
      <c r="B43">
        <v>3</v>
      </c>
      <c r="C43">
        <v>1</v>
      </c>
      <c r="D43">
        <v>3</v>
      </c>
      <c r="E43" t="s">
        <v>335</v>
      </c>
      <c r="F43">
        <v>32</v>
      </c>
      <c r="G43">
        <v>20</v>
      </c>
      <c r="H43">
        <v>200</v>
      </c>
      <c r="I43" s="4">
        <v>43.06656067488802</v>
      </c>
      <c r="J43" s="4">
        <v>43.12659249626449</v>
      </c>
      <c r="K43" s="4">
        <v>44.78622449787508</v>
      </c>
      <c r="L43" s="4">
        <v>45.40361245861277</v>
      </c>
      <c r="M43" s="4">
        <v>2.008763996855123</v>
      </c>
      <c r="N43" s="7">
        <v>0.02805839364917945</v>
      </c>
      <c r="O43">
        <v>23.21987138813007</v>
      </c>
      <c r="P43">
        <v>939813376</v>
      </c>
      <c r="Q43">
        <v>981467136</v>
      </c>
      <c r="R43" t="s">
        <v>224</v>
      </c>
      <c r="S43" s="5" t="s">
        <v>336</v>
      </c>
    </row>
    <row r="44" spans="1:19">
      <c r="A44" t="s">
        <v>226</v>
      </c>
      <c r="B44">
        <v>1</v>
      </c>
      <c r="C44">
        <v>1</v>
      </c>
      <c r="D44">
        <v>1</v>
      </c>
      <c r="E44" t="s">
        <v>335</v>
      </c>
      <c r="F44">
        <v>32</v>
      </c>
      <c r="G44">
        <v>20</v>
      </c>
      <c r="H44">
        <v>200</v>
      </c>
      <c r="I44" s="4">
        <v>32.43267584493879</v>
      </c>
      <c r="J44" s="4">
        <v>32.54655850105337</v>
      </c>
      <c r="K44" s="4">
        <v>34.15385354928731</v>
      </c>
      <c r="L44" s="4">
        <v>34.59720619219297</v>
      </c>
      <c r="M44" s="4">
        <v>1.452898501156596</v>
      </c>
      <c r="N44" s="7">
        <v>0.03151692838837496</v>
      </c>
      <c r="O44">
        <v>30.83310192415261</v>
      </c>
      <c r="P44">
        <v>933675520</v>
      </c>
      <c r="Q44">
        <v>966787072</v>
      </c>
      <c r="R44" t="s">
        <v>231</v>
      </c>
      <c r="S44" s="5" t="s">
        <v>336</v>
      </c>
    </row>
    <row r="45" spans="1:19">
      <c r="A45" t="s">
        <v>226</v>
      </c>
      <c r="B45">
        <v>2</v>
      </c>
      <c r="C45">
        <v>1</v>
      </c>
      <c r="D45">
        <v>2</v>
      </c>
      <c r="E45" t="s">
        <v>335</v>
      </c>
      <c r="F45">
        <v>32</v>
      </c>
      <c r="G45">
        <v>20</v>
      </c>
      <c r="H45">
        <v>200</v>
      </c>
      <c r="I45" s="4">
        <v>33.18148440986988</v>
      </c>
      <c r="J45" s="4">
        <v>32.93341499738744</v>
      </c>
      <c r="K45" s="4">
        <v>35.87757499808504</v>
      </c>
      <c r="L45" s="4">
        <v>40.50310336351685</v>
      </c>
      <c r="M45" s="4">
        <v>2.377213750150986</v>
      </c>
      <c r="N45" s="7">
        <v>0.05336683085194718</v>
      </c>
      <c r="O45">
        <v>30.13728944876705</v>
      </c>
      <c r="P45">
        <v>933675520</v>
      </c>
      <c r="Q45">
        <v>966787072</v>
      </c>
      <c r="R45" t="s">
        <v>231</v>
      </c>
      <c r="S45" s="5" t="s">
        <v>336</v>
      </c>
    </row>
    <row r="46" spans="1:19">
      <c r="A46" t="s">
        <v>226</v>
      </c>
      <c r="B46">
        <v>3</v>
      </c>
      <c r="C46">
        <v>1</v>
      </c>
      <c r="D46">
        <v>3</v>
      </c>
      <c r="E46" t="s">
        <v>335</v>
      </c>
      <c r="F46">
        <v>32</v>
      </c>
      <c r="G46">
        <v>20</v>
      </c>
      <c r="H46">
        <v>200</v>
      </c>
      <c r="I46" s="4">
        <v>32.02679234953393</v>
      </c>
      <c r="J46" s="4">
        <v>31.75817299779737</v>
      </c>
      <c r="K46" s="4">
        <v>34.03979055365198</v>
      </c>
      <c r="L46" s="4">
        <v>34.46294744579063</v>
      </c>
      <c r="M46" s="4">
        <v>1.466045750930789</v>
      </c>
      <c r="N46" s="7">
        <v>0.03418266246214852</v>
      </c>
      <c r="O46">
        <v>31.22385748426512</v>
      </c>
      <c r="P46">
        <v>933675520</v>
      </c>
      <c r="Q46">
        <v>966787072</v>
      </c>
      <c r="R46" t="s">
        <v>231</v>
      </c>
      <c r="S46" s="5" t="s">
        <v>336</v>
      </c>
    </row>
    <row r="47" spans="1:19">
      <c r="A47" t="s">
        <v>233</v>
      </c>
      <c r="B47">
        <v>1</v>
      </c>
      <c r="C47">
        <v>1</v>
      </c>
      <c r="D47">
        <v>1</v>
      </c>
      <c r="E47" t="s">
        <v>335</v>
      </c>
      <c r="F47">
        <v>32</v>
      </c>
      <c r="G47">
        <v>20</v>
      </c>
      <c r="H47">
        <v>200</v>
      </c>
      <c r="I47" s="4">
        <v>25.09940497031494</v>
      </c>
      <c r="J47" s="4">
        <v>24.83020750150899</v>
      </c>
      <c r="K47" s="4">
        <v>27.34947474891668</v>
      </c>
      <c r="L47" s="4">
        <v>29.35892929046531</v>
      </c>
      <c r="M47" s="4">
        <v>1.178089753011591</v>
      </c>
      <c r="N47" s="7">
        <v>0.04569950313332457</v>
      </c>
      <c r="O47">
        <v>39.84158194916174</v>
      </c>
      <c r="P47">
        <v>941561856</v>
      </c>
      <c r="Q47">
        <v>1000341504</v>
      </c>
      <c r="R47" t="s">
        <v>238</v>
      </c>
      <c r="S47" s="5" t="s">
        <v>336</v>
      </c>
    </row>
    <row r="48" spans="1:19">
      <c r="A48" t="s">
        <v>233</v>
      </c>
      <c r="B48">
        <v>2</v>
      </c>
      <c r="C48">
        <v>1</v>
      </c>
      <c r="D48">
        <v>2</v>
      </c>
      <c r="E48" t="s">
        <v>335</v>
      </c>
      <c r="F48">
        <v>32</v>
      </c>
      <c r="G48">
        <v>20</v>
      </c>
      <c r="H48">
        <v>200</v>
      </c>
      <c r="I48" s="4">
        <v>25.52601269988372</v>
      </c>
      <c r="J48" s="4">
        <v>25.11263899941696</v>
      </c>
      <c r="K48" s="4">
        <v>28.04900814990106</v>
      </c>
      <c r="L48" s="4">
        <v>28.74209934598184</v>
      </c>
      <c r="M48" s="4">
        <v>1.55619325414591</v>
      </c>
      <c r="N48" s="7">
        <v>0.05039668892799459</v>
      </c>
      <c r="O48">
        <v>39.17572288932362</v>
      </c>
      <c r="P48">
        <v>941561856</v>
      </c>
      <c r="Q48">
        <v>1000341504</v>
      </c>
      <c r="R48" t="s">
        <v>238</v>
      </c>
      <c r="S48" s="5" t="s">
        <v>336</v>
      </c>
    </row>
    <row r="49" spans="1:19">
      <c r="A49" t="s">
        <v>233</v>
      </c>
      <c r="B49">
        <v>3</v>
      </c>
      <c r="C49">
        <v>1</v>
      </c>
      <c r="D49">
        <v>3</v>
      </c>
      <c r="E49" t="s">
        <v>335</v>
      </c>
      <c r="F49">
        <v>32</v>
      </c>
      <c r="G49">
        <v>20</v>
      </c>
      <c r="H49">
        <v>200</v>
      </c>
      <c r="I49" s="4">
        <v>25.62534549473639</v>
      </c>
      <c r="J49" s="4">
        <v>25.37998049592716</v>
      </c>
      <c r="K49" s="4">
        <v>27.66152330586919</v>
      </c>
      <c r="L49" s="4">
        <v>28.52779248045408</v>
      </c>
      <c r="M49" s="4">
        <v>1.423129244358279</v>
      </c>
      <c r="N49" s="7">
        <v>0.04130134146787651</v>
      </c>
      <c r="O49">
        <v>39.02386409601409</v>
      </c>
      <c r="P49">
        <v>941561856</v>
      </c>
      <c r="Q49">
        <v>1000341504</v>
      </c>
      <c r="R49" t="s">
        <v>238</v>
      </c>
      <c r="S49" s="5" t="s">
        <v>336</v>
      </c>
    </row>
    <row r="50" spans="1:19">
      <c r="A50" t="s">
        <v>240</v>
      </c>
      <c r="B50">
        <v>1</v>
      </c>
      <c r="C50">
        <v>1</v>
      </c>
      <c r="D50">
        <v>1</v>
      </c>
      <c r="E50" t="s">
        <v>335</v>
      </c>
      <c r="F50">
        <v>32</v>
      </c>
      <c r="G50">
        <v>20</v>
      </c>
      <c r="H50">
        <v>200</v>
      </c>
      <c r="I50" s="4">
        <v>25.60262812978181</v>
      </c>
      <c r="J50" s="4">
        <v>25.52665500479634</v>
      </c>
      <c r="K50" s="4">
        <v>27.63498189997335</v>
      </c>
      <c r="L50" s="4">
        <v>28.32074348443712</v>
      </c>
      <c r="M50" s="4">
        <v>1.850082999226288</v>
      </c>
      <c r="N50" s="7">
        <v>0.04702719229052349</v>
      </c>
      <c r="O50">
        <v>39.05849020385402</v>
      </c>
      <c r="P50">
        <v>941561856</v>
      </c>
      <c r="Q50">
        <v>1000341504</v>
      </c>
      <c r="R50" t="s">
        <v>246</v>
      </c>
      <c r="S50" s="5" t="s">
        <v>336</v>
      </c>
    </row>
    <row r="51" spans="1:19">
      <c r="A51" t="s">
        <v>240</v>
      </c>
      <c r="B51">
        <v>2</v>
      </c>
      <c r="C51">
        <v>1</v>
      </c>
      <c r="D51">
        <v>2</v>
      </c>
      <c r="E51" t="s">
        <v>335</v>
      </c>
      <c r="F51">
        <v>32</v>
      </c>
      <c r="G51">
        <v>20</v>
      </c>
      <c r="H51">
        <v>200</v>
      </c>
      <c r="I51" s="4">
        <v>25.63987065463152</v>
      </c>
      <c r="J51" s="4">
        <v>25.47441250135307</v>
      </c>
      <c r="K51" s="4">
        <v>27.85414304671576</v>
      </c>
      <c r="L51" s="4">
        <v>28.55008879414527</v>
      </c>
      <c r="M51" s="4">
        <v>1.831943500292255</v>
      </c>
      <c r="N51" s="7">
        <v>0.04887330961907616</v>
      </c>
      <c r="O51">
        <v>39.00175681344018</v>
      </c>
      <c r="P51">
        <v>941561856</v>
      </c>
      <c r="Q51">
        <v>1000341504</v>
      </c>
      <c r="R51" t="s">
        <v>246</v>
      </c>
      <c r="S51" s="5" t="s">
        <v>336</v>
      </c>
    </row>
    <row r="52" spans="1:19">
      <c r="A52" t="s">
        <v>240</v>
      </c>
      <c r="B52">
        <v>3</v>
      </c>
      <c r="C52">
        <v>1</v>
      </c>
      <c r="D52">
        <v>3</v>
      </c>
      <c r="E52" t="s">
        <v>335</v>
      </c>
      <c r="F52">
        <v>32</v>
      </c>
      <c r="G52">
        <v>20</v>
      </c>
      <c r="H52">
        <v>200</v>
      </c>
      <c r="I52" s="4">
        <v>25.07351058979111</v>
      </c>
      <c r="J52" s="4">
        <v>24.92436099782935</v>
      </c>
      <c r="K52" s="4">
        <v>27.09575480184867</v>
      </c>
      <c r="L52" s="4">
        <v>27.81171308211924</v>
      </c>
      <c r="M52" s="4">
        <v>1.026511252348428</v>
      </c>
      <c r="N52" s="7">
        <v>0.03813813982285857</v>
      </c>
      <c r="O52">
        <v>39.8827278860248</v>
      </c>
      <c r="P52">
        <v>941561856</v>
      </c>
      <c r="Q52">
        <v>1000341504</v>
      </c>
      <c r="R52" t="s">
        <v>246</v>
      </c>
      <c r="S52" s="5" t="s">
        <v>336</v>
      </c>
    </row>
    <row r="53" spans="1:19">
      <c r="A53" t="s">
        <v>253</v>
      </c>
      <c r="B53">
        <v>1</v>
      </c>
      <c r="C53">
        <v>1</v>
      </c>
      <c r="D53">
        <v>1</v>
      </c>
      <c r="E53" t="s">
        <v>335</v>
      </c>
      <c r="F53">
        <v>32</v>
      </c>
      <c r="G53">
        <v>20</v>
      </c>
      <c r="H53">
        <v>200</v>
      </c>
      <c r="I53" s="4">
        <v>38.4646704552506</v>
      </c>
      <c r="J53" s="4">
        <v>38.1283330025326</v>
      </c>
      <c r="K53" s="4">
        <v>40.95448030493571</v>
      </c>
      <c r="L53" s="4">
        <v>42.31110554334009</v>
      </c>
      <c r="M53" s="4">
        <v>1.376265256112674</v>
      </c>
      <c r="N53" s="7">
        <v>0.03189721697220589</v>
      </c>
      <c r="O53">
        <v>25.9978829446463</v>
      </c>
      <c r="P53">
        <v>941561856</v>
      </c>
      <c r="Q53">
        <v>1000341504</v>
      </c>
      <c r="R53" t="s">
        <v>259</v>
      </c>
      <c r="S53" s="5" t="s">
        <v>336</v>
      </c>
    </row>
    <row r="54" spans="1:19">
      <c r="A54" t="s">
        <v>253</v>
      </c>
      <c r="B54">
        <v>2</v>
      </c>
      <c r="C54">
        <v>1</v>
      </c>
      <c r="D54">
        <v>2</v>
      </c>
      <c r="E54" t="s">
        <v>335</v>
      </c>
      <c r="F54">
        <v>32</v>
      </c>
      <c r="G54">
        <v>20</v>
      </c>
      <c r="H54">
        <v>200</v>
      </c>
      <c r="I54" s="4">
        <v>38.02420560521568</v>
      </c>
      <c r="J54" s="4">
        <v>37.79153150026104</v>
      </c>
      <c r="K54" s="4">
        <v>40.02025469453656</v>
      </c>
      <c r="L54" s="4">
        <v>41.03226009516219</v>
      </c>
      <c r="M54" s="4">
        <v>1.049383497957024</v>
      </c>
      <c r="N54" s="7">
        <v>0.02655535260019474</v>
      </c>
      <c r="O54">
        <v>26.29903726017178</v>
      </c>
      <c r="P54">
        <v>941561856</v>
      </c>
      <c r="Q54">
        <v>1000341504</v>
      </c>
      <c r="R54" t="s">
        <v>259</v>
      </c>
      <c r="S54" s="5" t="s">
        <v>336</v>
      </c>
    </row>
    <row r="55" spans="1:19">
      <c r="A55" t="s">
        <v>253</v>
      </c>
      <c r="B55">
        <v>3</v>
      </c>
      <c r="C55">
        <v>1</v>
      </c>
      <c r="D55">
        <v>3</v>
      </c>
      <c r="E55" t="s">
        <v>335</v>
      </c>
      <c r="F55">
        <v>32</v>
      </c>
      <c r="G55">
        <v>20</v>
      </c>
      <c r="H55">
        <v>200</v>
      </c>
      <c r="I55" s="4">
        <v>38.46602554025594</v>
      </c>
      <c r="J55" s="4">
        <v>38.20535950217163</v>
      </c>
      <c r="K55" s="4">
        <v>40.59362815205532</v>
      </c>
      <c r="L55" s="4">
        <v>41.93519211010425</v>
      </c>
      <c r="M55" s="4">
        <v>1.644091746129561</v>
      </c>
      <c r="N55" s="7">
        <v>0.03012191695035502</v>
      </c>
      <c r="O55">
        <v>25.9969670886187</v>
      </c>
      <c r="P55">
        <v>941561856</v>
      </c>
      <c r="Q55">
        <v>1000341504</v>
      </c>
      <c r="R55" t="s">
        <v>259</v>
      </c>
      <c r="S55" s="5" t="s">
        <v>336</v>
      </c>
    </row>
    <row r="56" spans="1:19">
      <c r="A56" t="s">
        <v>261</v>
      </c>
      <c r="B56">
        <v>1</v>
      </c>
      <c r="C56">
        <v>1</v>
      </c>
      <c r="D56">
        <v>1</v>
      </c>
      <c r="E56" t="s">
        <v>335</v>
      </c>
      <c r="F56">
        <v>32</v>
      </c>
      <c r="G56">
        <v>20</v>
      </c>
      <c r="H56">
        <v>200</v>
      </c>
      <c r="I56" s="4">
        <v>43.22307128484681</v>
      </c>
      <c r="J56" s="4">
        <v>42.93441499976325</v>
      </c>
      <c r="K56" s="4">
        <v>45.48908965043665</v>
      </c>
      <c r="L56" s="4">
        <v>45.89128969098965</v>
      </c>
      <c r="M56" s="4">
        <v>1.571012002386851</v>
      </c>
      <c r="N56" s="7">
        <v>0.02726440597168193</v>
      </c>
      <c r="O56">
        <v>23.13579230429609</v>
      </c>
      <c r="P56">
        <v>941561856</v>
      </c>
      <c r="Q56">
        <v>1000341504</v>
      </c>
      <c r="R56" t="s">
        <v>266</v>
      </c>
      <c r="S56" s="5" t="s">
        <v>336</v>
      </c>
    </row>
    <row r="57" spans="1:19">
      <c r="A57" t="s">
        <v>261</v>
      </c>
      <c r="B57">
        <v>2</v>
      </c>
      <c r="C57">
        <v>1</v>
      </c>
      <c r="D57">
        <v>2</v>
      </c>
      <c r="E57" t="s">
        <v>335</v>
      </c>
      <c r="F57">
        <v>32</v>
      </c>
      <c r="G57">
        <v>20</v>
      </c>
      <c r="H57">
        <v>200</v>
      </c>
      <c r="I57" s="4">
        <v>43.91613921998214</v>
      </c>
      <c r="J57" s="4">
        <v>43.80997000043862</v>
      </c>
      <c r="K57" s="4">
        <v>45.80427885302925</v>
      </c>
      <c r="L57" s="4">
        <v>46.64741383996442</v>
      </c>
      <c r="M57" s="4">
        <v>1.758247002726421</v>
      </c>
      <c r="N57" s="7">
        <v>0.02626450326850988</v>
      </c>
      <c r="O57">
        <v>22.77067196164168</v>
      </c>
      <c r="P57">
        <v>941561856</v>
      </c>
      <c r="Q57">
        <v>1000341504</v>
      </c>
      <c r="R57" t="s">
        <v>266</v>
      </c>
      <c r="S57" s="5" t="s">
        <v>336</v>
      </c>
    </row>
    <row r="58" spans="1:19">
      <c r="A58" t="s">
        <v>261</v>
      </c>
      <c r="B58">
        <v>3</v>
      </c>
      <c r="C58">
        <v>1</v>
      </c>
      <c r="D58">
        <v>3</v>
      </c>
      <c r="E58" t="s">
        <v>335</v>
      </c>
      <c r="F58">
        <v>32</v>
      </c>
      <c r="G58">
        <v>20</v>
      </c>
      <c r="H58">
        <v>200</v>
      </c>
      <c r="I58" s="4">
        <v>43.43973104969336</v>
      </c>
      <c r="J58" s="4">
        <v>43.13873000137392</v>
      </c>
      <c r="K58" s="4">
        <v>45.66918519703904</v>
      </c>
      <c r="L58" s="4">
        <v>46.88439685662161</v>
      </c>
      <c r="M58" s="4">
        <v>1.731970001856098</v>
      </c>
      <c r="N58" s="7">
        <v>0.0287455798396991</v>
      </c>
      <c r="O58">
        <v>23.02040035321671</v>
      </c>
      <c r="P58">
        <v>941561856</v>
      </c>
      <c r="Q58">
        <v>1000341504</v>
      </c>
      <c r="R58" t="s">
        <v>266</v>
      </c>
      <c r="S58" s="5" t="s">
        <v>336</v>
      </c>
    </row>
    <row r="59" spans="1:19">
      <c r="A59" t="s">
        <v>268</v>
      </c>
      <c r="B59">
        <v>1</v>
      </c>
      <c r="C59">
        <v>1</v>
      </c>
      <c r="D59">
        <v>1</v>
      </c>
      <c r="E59" t="s">
        <v>335</v>
      </c>
      <c r="F59">
        <v>32</v>
      </c>
      <c r="G59">
        <v>20</v>
      </c>
      <c r="H59">
        <v>200</v>
      </c>
      <c r="I59" s="4">
        <v>39.66123574009544</v>
      </c>
      <c r="J59" s="4">
        <v>39.41318600118393</v>
      </c>
      <c r="K59" s="4">
        <v>41.53624120117456</v>
      </c>
      <c r="L59" s="4">
        <v>43.51560229515599</v>
      </c>
      <c r="M59" s="4">
        <v>1.016414253172115</v>
      </c>
      <c r="N59" s="7">
        <v>0.02608740054120153</v>
      </c>
      <c r="O59">
        <v>25.21353612260377</v>
      </c>
      <c r="P59">
        <v>941561856</v>
      </c>
      <c r="Q59">
        <v>1000341504</v>
      </c>
      <c r="R59" t="s">
        <v>273</v>
      </c>
      <c r="S59" s="5" t="s">
        <v>336</v>
      </c>
    </row>
    <row r="60" spans="1:19">
      <c r="A60" t="s">
        <v>268</v>
      </c>
      <c r="B60">
        <v>2</v>
      </c>
      <c r="C60">
        <v>1</v>
      </c>
      <c r="D60">
        <v>2</v>
      </c>
      <c r="E60" t="s">
        <v>335</v>
      </c>
      <c r="F60">
        <v>32</v>
      </c>
      <c r="G60">
        <v>20</v>
      </c>
      <c r="H60">
        <v>200</v>
      </c>
      <c r="I60" s="4">
        <v>39.71326136022981</v>
      </c>
      <c r="J60" s="4">
        <v>39.51208500075154</v>
      </c>
      <c r="K60" s="4">
        <v>41.59378255208139</v>
      </c>
      <c r="L60" s="4">
        <v>42.63553132041123</v>
      </c>
      <c r="M60" s="4">
        <v>1.227599250341882</v>
      </c>
      <c r="N60" s="7">
        <v>0.02545818883127573</v>
      </c>
      <c r="O60">
        <v>25.18050559809811</v>
      </c>
      <c r="P60">
        <v>941561856</v>
      </c>
      <c r="Q60">
        <v>1000341504</v>
      </c>
      <c r="R60" t="s">
        <v>273</v>
      </c>
      <c r="S60" s="5" t="s">
        <v>336</v>
      </c>
    </row>
    <row r="61" spans="1:19">
      <c r="A61" t="s">
        <v>268</v>
      </c>
      <c r="B61">
        <v>3</v>
      </c>
      <c r="C61">
        <v>1</v>
      </c>
      <c r="D61">
        <v>3</v>
      </c>
      <c r="E61" t="s">
        <v>335</v>
      </c>
      <c r="F61">
        <v>32</v>
      </c>
      <c r="G61">
        <v>20</v>
      </c>
      <c r="H61">
        <v>200</v>
      </c>
      <c r="I61" s="4">
        <v>39.56688970978576</v>
      </c>
      <c r="J61" s="4">
        <v>39.33019599935506</v>
      </c>
      <c r="K61" s="4">
        <v>41.25149644678459</v>
      </c>
      <c r="L61" s="4">
        <v>42.45931460311112</v>
      </c>
      <c r="M61" s="4">
        <v>0.9081512562261196</v>
      </c>
      <c r="N61" s="7">
        <v>0.02275821474001309</v>
      </c>
      <c r="O61">
        <v>25.27365702320236</v>
      </c>
      <c r="P61">
        <v>941561856</v>
      </c>
      <c r="Q61">
        <v>1000341504</v>
      </c>
      <c r="R61" t="s">
        <v>273</v>
      </c>
      <c r="S61" s="5" t="s">
        <v>336</v>
      </c>
    </row>
    <row r="62" spans="1:19">
      <c r="A62" t="s">
        <v>275</v>
      </c>
      <c r="B62">
        <v>1</v>
      </c>
      <c r="C62">
        <v>1</v>
      </c>
      <c r="D62">
        <v>1</v>
      </c>
      <c r="E62" t="s">
        <v>335</v>
      </c>
      <c r="F62">
        <v>32</v>
      </c>
      <c r="G62">
        <v>20</v>
      </c>
      <c r="H62">
        <v>200</v>
      </c>
      <c r="I62" s="4">
        <v>39.06460407004488</v>
      </c>
      <c r="J62" s="4">
        <v>38.77304900379386</v>
      </c>
      <c r="K62" s="4">
        <v>41.26267915344215</v>
      </c>
      <c r="L62" s="4">
        <v>41.91555844510731</v>
      </c>
      <c r="M62" s="4">
        <v>1.957920756467502</v>
      </c>
      <c r="N62" s="7">
        <v>0.03114730402968317</v>
      </c>
      <c r="O62">
        <v>25.59862115092598</v>
      </c>
      <c r="P62">
        <v>941561856</v>
      </c>
      <c r="Q62">
        <v>1000341504</v>
      </c>
      <c r="R62" t="s">
        <v>279</v>
      </c>
      <c r="S62" s="5" t="s">
        <v>336</v>
      </c>
    </row>
    <row r="63" spans="1:19">
      <c r="A63" t="s">
        <v>275</v>
      </c>
      <c r="B63">
        <v>2</v>
      </c>
      <c r="C63">
        <v>1</v>
      </c>
      <c r="D63">
        <v>2</v>
      </c>
      <c r="E63" t="s">
        <v>335</v>
      </c>
      <c r="F63">
        <v>32</v>
      </c>
      <c r="G63">
        <v>20</v>
      </c>
      <c r="H63">
        <v>200</v>
      </c>
      <c r="I63" s="4">
        <v>38.35770868965483</v>
      </c>
      <c r="J63" s="4">
        <v>38.21338999841828</v>
      </c>
      <c r="K63" s="4">
        <v>40.24394824591582</v>
      </c>
      <c r="L63" s="4">
        <v>40.788531611106</v>
      </c>
      <c r="M63" s="4">
        <v>1.130527251007152</v>
      </c>
      <c r="N63" s="7">
        <v>0.02496883319920509</v>
      </c>
      <c r="O63">
        <v>26.0703789188978</v>
      </c>
      <c r="P63">
        <v>941561856</v>
      </c>
      <c r="Q63">
        <v>1000341504</v>
      </c>
      <c r="R63" t="s">
        <v>279</v>
      </c>
      <c r="S63" s="5" t="s">
        <v>336</v>
      </c>
    </row>
    <row r="64" spans="1:19">
      <c r="A64" t="s">
        <v>275</v>
      </c>
      <c r="B64">
        <v>3</v>
      </c>
      <c r="C64">
        <v>1</v>
      </c>
      <c r="D64">
        <v>3</v>
      </c>
      <c r="E64" t="s">
        <v>335</v>
      </c>
      <c r="F64">
        <v>32</v>
      </c>
      <c r="G64">
        <v>20</v>
      </c>
      <c r="H64">
        <v>200</v>
      </c>
      <c r="I64" s="4">
        <v>38.37075844989158</v>
      </c>
      <c r="J64" s="4">
        <v>38.15618050066405</v>
      </c>
      <c r="K64" s="4">
        <v>40.13068000058411</v>
      </c>
      <c r="L64" s="4">
        <v>42.36504301370587</v>
      </c>
      <c r="M64" s="4">
        <v>0.9532212552585406</v>
      </c>
      <c r="N64" s="7">
        <v>0.03380421277792601</v>
      </c>
      <c r="O64">
        <v>26.06151247455536</v>
      </c>
      <c r="P64">
        <v>941561856</v>
      </c>
      <c r="Q64">
        <v>1000341504</v>
      </c>
      <c r="R64" t="s">
        <v>279</v>
      </c>
      <c r="S64" s="5" t="s">
        <v>336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B7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8.7109375" customWidth="1"/>
    <col min="2" max="2" width="88.7109375" style="5" customWidth="1"/>
  </cols>
  <sheetData>
    <row r="1" spans="1:2" s="1" customFormat="1" ht="34" customHeight="1">
      <c r="A1" s="1" t="s">
        <v>337</v>
      </c>
      <c r="B1" s="1" t="s">
        <v>338</v>
      </c>
    </row>
    <row r="2" spans="1:2">
      <c r="A2" t="s">
        <v>339</v>
      </c>
      <c r="B2" s="5" t="s">
        <v>340</v>
      </c>
    </row>
    <row r="3" spans="1:2">
      <c r="A3" t="s">
        <v>341</v>
      </c>
      <c r="B3" s="5" t="s">
        <v>342</v>
      </c>
    </row>
    <row r="4" spans="1:2">
      <c r="A4" t="s">
        <v>343</v>
      </c>
      <c r="B4" s="5" t="s">
        <v>344</v>
      </c>
    </row>
    <row r="5" spans="1:2">
      <c r="A5" t="s">
        <v>345</v>
      </c>
      <c r="B5" s="5" t="s">
        <v>346</v>
      </c>
    </row>
    <row r="6" spans="1:2">
      <c r="A6" t="s">
        <v>347</v>
      </c>
      <c r="B6" s="5" t="s">
        <v>348</v>
      </c>
    </row>
    <row r="7" spans="1:2">
      <c r="A7" t="s">
        <v>349</v>
      </c>
      <c r="B7" s="5" t="s">
        <v>350</v>
      </c>
    </row>
    <row r="8" spans="1:2">
      <c r="A8" t="s">
        <v>351</v>
      </c>
      <c r="B8" s="5" t="s">
        <v>352</v>
      </c>
    </row>
    <row r="9" spans="1:2">
      <c r="A9" t="s">
        <v>353</v>
      </c>
      <c r="B9" s="5" t="s">
        <v>354</v>
      </c>
    </row>
    <row r="10" spans="1:2">
      <c r="A10" t="s">
        <v>355</v>
      </c>
      <c r="B10" s="5">
        <v>3</v>
      </c>
    </row>
    <row r="11" spans="1:2">
      <c r="A11" t="s">
        <v>356</v>
      </c>
      <c r="B11" s="5" t="s">
        <v>357</v>
      </c>
    </row>
    <row r="12" spans="1:2">
      <c r="A12" t="s">
        <v>358</v>
      </c>
      <c r="B12" s="5" t="s">
        <v>359</v>
      </c>
    </row>
    <row r="13" spans="1:2">
      <c r="A13" t="s">
        <v>360</v>
      </c>
      <c r="B13" s="5" t="s">
        <v>361</v>
      </c>
    </row>
    <row r="14" spans="1:2">
      <c r="A14" t="s">
        <v>362</v>
      </c>
      <c r="B14" s="5" t="s">
        <v>354</v>
      </c>
    </row>
    <row r="15" spans="1:2">
      <c r="A15" t="s">
        <v>363</v>
      </c>
      <c r="B15" s="5" t="s">
        <v>4</v>
      </c>
    </row>
    <row r="16" spans="1:2">
      <c r="A16" t="s">
        <v>364</v>
      </c>
      <c r="B16" s="5" t="s">
        <v>120</v>
      </c>
    </row>
    <row r="17" spans="1:2">
      <c r="A17" t="s">
        <v>365</v>
      </c>
      <c r="B17" s="5">
        <v>437</v>
      </c>
    </row>
    <row r="18" spans="1:2">
      <c r="A18" t="s">
        <v>366</v>
      </c>
      <c r="B18" s="5">
        <v>593</v>
      </c>
    </row>
    <row r="19" spans="1:2">
      <c r="A19" t="s">
        <v>367</v>
      </c>
      <c r="B19" s="5">
        <v>20129693696</v>
      </c>
    </row>
    <row r="20" spans="1:2">
      <c r="A20" t="s">
        <v>368</v>
      </c>
      <c r="B20" s="5">
        <v>10</v>
      </c>
    </row>
    <row r="21" spans="1:2">
      <c r="A21" t="s">
        <v>369</v>
      </c>
      <c r="B21" s="5">
        <v>568</v>
      </c>
    </row>
    <row r="22" spans="1:2">
      <c r="A22" t="s">
        <v>370</v>
      </c>
      <c r="B22" s="5">
        <v>17</v>
      </c>
    </row>
    <row r="23" spans="1:2">
      <c r="A23" t="s">
        <v>371</v>
      </c>
      <c r="B23" s="5">
        <v>0</v>
      </c>
    </row>
    <row r="24" spans="1:2">
      <c r="A24" t="s">
        <v>372</v>
      </c>
      <c r="B24" s="5" t="s">
        <v>373</v>
      </c>
    </row>
    <row r="25" spans="1:2">
      <c r="A25" t="s">
        <v>374</v>
      </c>
      <c r="B25" s="5" t="s">
        <v>375</v>
      </c>
    </row>
    <row r="26" spans="1:2">
      <c r="A26" t="s">
        <v>376</v>
      </c>
      <c r="B26" s="5" t="s">
        <v>377</v>
      </c>
    </row>
    <row r="27" spans="1:2">
      <c r="A27" t="s">
        <v>378</v>
      </c>
      <c r="B27" s="5" t="s">
        <v>352</v>
      </c>
    </row>
    <row r="28" spans="1:2">
      <c r="A28" t="s">
        <v>379</v>
      </c>
      <c r="B28" s="5" t="s">
        <v>380</v>
      </c>
    </row>
    <row r="29" spans="1:2">
      <c r="A29" t="s">
        <v>381</v>
      </c>
      <c r="B29" s="5" t="s">
        <v>382</v>
      </c>
    </row>
    <row r="30" spans="1:2">
      <c r="A30" t="s">
        <v>383</v>
      </c>
      <c r="B30" s="5" t="s">
        <v>384</v>
      </c>
    </row>
    <row r="31" spans="1:2">
      <c r="A31" t="s">
        <v>385</v>
      </c>
      <c r="B31" s="5" t="s">
        <v>386</v>
      </c>
    </row>
    <row r="32" spans="1:2">
      <c r="A32" t="s">
        <v>387</v>
      </c>
      <c r="B32" s="5" t="s">
        <v>388</v>
      </c>
    </row>
    <row r="33" spans="1:2">
      <c r="A33" t="s">
        <v>389</v>
      </c>
      <c r="B33" s="5">
        <v>16</v>
      </c>
    </row>
    <row r="34" spans="1:2">
      <c r="A34" t="s">
        <v>390</v>
      </c>
      <c r="B34" s="5">
        <v>8</v>
      </c>
    </row>
    <row r="35" spans="1:2">
      <c r="A35" t="s">
        <v>391</v>
      </c>
      <c r="B35" s="5">
        <v>15966171136</v>
      </c>
    </row>
    <row r="36" spans="1:2">
      <c r="A36" t="s">
        <v>392</v>
      </c>
      <c r="B36" s="5" t="s">
        <v>361</v>
      </c>
    </row>
    <row r="37" spans="1:2">
      <c r="A37" t="s">
        <v>393</v>
      </c>
      <c r="B37" s="5" t="s">
        <v>394</v>
      </c>
    </row>
    <row r="38" spans="1:2">
      <c r="A38" t="s">
        <v>395</v>
      </c>
      <c r="B38" s="5" t="s">
        <v>396</v>
      </c>
    </row>
    <row r="39" spans="1:2">
      <c r="A39" t="s">
        <v>397</v>
      </c>
      <c r="B39" s="5" t="s">
        <v>398</v>
      </c>
    </row>
    <row r="40" spans="1:2">
      <c r="A40" t="s">
        <v>399</v>
      </c>
      <c r="B40" s="5" t="s">
        <v>398</v>
      </c>
    </row>
    <row r="41" spans="1:2">
      <c r="A41" t="s">
        <v>400</v>
      </c>
      <c r="B41" s="5" t="b">
        <v>1</v>
      </c>
    </row>
    <row r="42" spans="1:2">
      <c r="A42" t="s">
        <v>401</v>
      </c>
      <c r="B42" s="5" t="s">
        <v>346</v>
      </c>
    </row>
    <row r="43" spans="1:2">
      <c r="A43" t="s">
        <v>402</v>
      </c>
      <c r="B43" s="5" t="s">
        <v>403</v>
      </c>
    </row>
    <row r="44" spans="1:2">
      <c r="A44" t="s">
        <v>404</v>
      </c>
      <c r="B44" s="5" t="s">
        <v>405</v>
      </c>
    </row>
    <row r="45" spans="1:2">
      <c r="A45" t="s">
        <v>406</v>
      </c>
      <c r="B45" s="5" t="s">
        <v>407</v>
      </c>
    </row>
    <row r="46" spans="1:2">
      <c r="A46" t="s">
        <v>408</v>
      </c>
      <c r="B46" s="5" t="s">
        <v>409</v>
      </c>
    </row>
    <row r="47" spans="1:2">
      <c r="A47" t="s">
        <v>410</v>
      </c>
      <c r="B47" s="5" t="s">
        <v>411</v>
      </c>
    </row>
    <row r="48" spans="1:2">
      <c r="A48" t="s">
        <v>412</v>
      </c>
      <c r="B48" s="5" t="s">
        <v>413</v>
      </c>
    </row>
    <row r="49" spans="1:2">
      <c r="A49" t="s">
        <v>414</v>
      </c>
      <c r="B49" s="5" t="s">
        <v>415</v>
      </c>
    </row>
    <row r="50" spans="1:2">
      <c r="A50" t="s">
        <v>416</v>
      </c>
      <c r="B50" s="5" t="b">
        <v>1</v>
      </c>
    </row>
    <row r="51" spans="1:2">
      <c r="A51" t="s">
        <v>417</v>
      </c>
      <c r="B51" s="5" t="s">
        <v>398</v>
      </c>
    </row>
    <row r="52" spans="1:2">
      <c r="A52" t="s">
        <v>418</v>
      </c>
      <c r="B52" s="5" t="s">
        <v>398</v>
      </c>
    </row>
    <row r="53" spans="1:2">
      <c r="A53" t="s">
        <v>419</v>
      </c>
      <c r="B53" s="5">
        <v>30</v>
      </c>
    </row>
    <row r="54" spans="1:2">
      <c r="A54" t="s">
        <v>420</v>
      </c>
      <c r="B54" s="5">
        <v>1</v>
      </c>
    </row>
    <row r="55" spans="1:2">
      <c r="A55" t="s">
        <v>421</v>
      </c>
      <c r="B55" s="5">
        <v>3</v>
      </c>
    </row>
    <row r="56" spans="1:2">
      <c r="A56" t="s">
        <v>422</v>
      </c>
      <c r="B56" s="5">
        <v>300</v>
      </c>
    </row>
    <row r="57" spans="1:2">
      <c r="A57" t="s">
        <v>423</v>
      </c>
      <c r="B57" s="5">
        <v>30</v>
      </c>
    </row>
    <row r="58" spans="1:2">
      <c r="A58" t="s">
        <v>424</v>
      </c>
      <c r="B58" s="5">
        <v>50</v>
      </c>
    </row>
    <row r="59" spans="1:2">
      <c r="A59" t="s">
        <v>425</v>
      </c>
      <c r="B59" s="5">
        <v>50</v>
      </c>
    </row>
    <row r="60" spans="1:2">
      <c r="A60" t="s">
        <v>426</v>
      </c>
      <c r="B60" s="5">
        <v>75</v>
      </c>
    </row>
    <row r="61" spans="1:2">
      <c r="A61" t="s">
        <v>427</v>
      </c>
      <c r="B61" s="5">
        <v>20</v>
      </c>
    </row>
    <row r="62" spans="1:2">
      <c r="A62" t="s">
        <v>428</v>
      </c>
      <c r="B62" s="5">
        <v>50</v>
      </c>
    </row>
    <row r="63" spans="1:2">
      <c r="A63" t="s">
        <v>429</v>
      </c>
      <c r="B63" s="5">
        <v>50</v>
      </c>
    </row>
    <row r="64" spans="1:2">
      <c r="A64" t="s">
        <v>430</v>
      </c>
      <c r="B64" s="5">
        <v>6</v>
      </c>
    </row>
    <row r="65" spans="1:2">
      <c r="A65" t="s">
        <v>431</v>
      </c>
      <c r="B65" s="5">
        <v>20</v>
      </c>
    </row>
    <row r="66" spans="1:2">
      <c r="A66" t="s">
        <v>432</v>
      </c>
      <c r="B66" s="5">
        <v>50</v>
      </c>
    </row>
    <row r="67" spans="1:2">
      <c r="A67" t="s">
        <v>433</v>
      </c>
      <c r="B67" s="5">
        <v>50</v>
      </c>
    </row>
    <row r="68" spans="1:2">
      <c r="A68" t="s">
        <v>434</v>
      </c>
      <c r="B68" s="5">
        <v>15</v>
      </c>
    </row>
    <row r="69" spans="1:2">
      <c r="A69" t="s">
        <v>435</v>
      </c>
      <c r="B69" s="5" t="b">
        <v>1</v>
      </c>
    </row>
    <row r="70" spans="1:2">
      <c r="A70" t="s">
        <v>436</v>
      </c>
      <c r="B70" s="5">
        <v>30</v>
      </c>
    </row>
    <row r="71" spans="1:2">
      <c r="A71" t="s">
        <v>437</v>
      </c>
      <c r="B71" s="5">
        <v>2.466666666666667</v>
      </c>
    </row>
    <row r="72" spans="1:2">
      <c r="A72" t="s">
        <v>438</v>
      </c>
      <c r="B72" s="5">
        <v>25.66666666666667</v>
      </c>
    </row>
    <row r="73" spans="1:2">
      <c r="A73" t="s">
        <v>439</v>
      </c>
      <c r="B73" s="5">
        <v>18.66666666666667</v>
      </c>
    </row>
    <row r="74" spans="1:2">
      <c r="A74" t="s">
        <v>440</v>
      </c>
      <c r="B74" s="5">
        <v>40</v>
      </c>
    </row>
    <row r="75" spans="1:2">
      <c r="A75" t="s">
        <v>441</v>
      </c>
      <c r="B75" s="5">
        <v>5.046666666666667</v>
      </c>
    </row>
    <row r="76" spans="1:2">
      <c r="A76" t="s">
        <v>442</v>
      </c>
      <c r="B76" s="5">
        <v>210</v>
      </c>
    </row>
    <row r="77" spans="1:2">
      <c r="A77" t="s">
        <v>443</v>
      </c>
      <c r="B77" s="5">
        <v>405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t="s">
        <v>60</v>
      </c>
      <c r="B1" t="s">
        <v>83</v>
      </c>
      <c r="C1" t="s">
        <v>36</v>
      </c>
      <c r="D1" t="s">
        <v>289</v>
      </c>
    </row>
    <row r="2" spans="1:4">
      <c r="A2" t="str">
        <f>'분석결과'!A2</f>
        <v>B01</v>
      </c>
      <c r="B2">
        <f>'분석결과'!L2</f>
        <v>45.82025699710357</v>
      </c>
      <c r="C2">
        <f>'분석결과'!G2</f>
        <v>0.6026426958851505</v>
      </c>
      <c r="D2">
        <f>'분석결과'!T2</f>
        <v>129.33994674682617</v>
      </c>
    </row>
    <row r="3" spans="1:4">
      <c r="A3" t="str">
        <f>'분석결과'!A3</f>
        <v>B02</v>
      </c>
      <c r="B3">
        <f>'분석결과'!L3</f>
        <v>25.775210498977685</v>
      </c>
      <c r="C3">
        <f>'분석결과'!G3</f>
        <v>0.6017216878776938</v>
      </c>
      <c r="D3">
        <f>'분석결과'!T3</f>
        <v>67.94259262084961</v>
      </c>
    </row>
    <row r="4" spans="1:4">
      <c r="A4" t="str">
        <f>'분석결과'!A4</f>
        <v>B03</v>
      </c>
      <c r="B4">
        <f>'분석결과'!L4</f>
        <v>25.360001498484053</v>
      </c>
      <c r="C4">
        <f>'분석결과'!G4</f>
        <v>0.602749828431408</v>
      </c>
      <c r="D4">
        <f>'분석결과'!T4</f>
        <v>68.00632095336914</v>
      </c>
    </row>
    <row r="5" spans="1:4">
      <c r="A5" t="str">
        <f>'분석결과'!A5</f>
        <v>M01</v>
      </c>
      <c r="B5">
        <f>'분석결과'!L5</f>
        <v>25.386515499121742</v>
      </c>
      <c r="C5">
        <f>'분석결과'!G5</f>
        <v>0.517988143310128</v>
      </c>
      <c r="D5">
        <f>'분석결과'!T5</f>
        <v>67.89997482299805</v>
      </c>
    </row>
    <row r="6" spans="1:4">
      <c r="A6" t="str">
        <f>'분석결과'!A6</f>
        <v>M02</v>
      </c>
      <c r="B6">
        <f>'분석결과'!L6</f>
        <v>25.26247049900121</v>
      </c>
      <c r="C6">
        <f>'분석결과'!G6</f>
        <v>0.5148480302335408</v>
      </c>
      <c r="D6">
        <f>'분석결과'!T6</f>
        <v>62.39285659790039</v>
      </c>
    </row>
    <row r="7" spans="1:4">
      <c r="A7" t="str">
        <f>'분석결과'!A7</f>
        <v>S01</v>
      </c>
      <c r="B7">
        <f>'분석결과'!L7</f>
        <v>44.509862000268186</v>
      </c>
      <c r="C7">
        <f>'분석결과'!G7</f>
        <v>0.6022300056180777</v>
      </c>
      <c r="D7">
        <f>'분석결과'!T7</f>
        <v>123.25446701049805</v>
      </c>
    </row>
    <row r="8" spans="1:4">
      <c r="A8" t="str">
        <f>'분석결과'!A8</f>
        <v>S02</v>
      </c>
      <c r="B8">
        <f>'분석결과'!L8</f>
        <v>42.95711550003034</v>
      </c>
      <c r="C8">
        <f>'분석결과'!G8</f>
        <v>0.5850419797466627</v>
      </c>
      <c r="D8">
        <f>'분석결과'!T8</f>
        <v>117.18737411499023</v>
      </c>
    </row>
    <row r="9" spans="1:4">
      <c r="A9" t="str">
        <f>'분석결과'!A9</f>
        <v>S04</v>
      </c>
      <c r="B9">
        <f>'분석결과'!L9</f>
        <v>45.76865499984706</v>
      </c>
      <c r="C9">
        <f>'분석결과'!G9</f>
        <v>0.5213500016890231</v>
      </c>
      <c r="D9">
        <f>'분석결과'!T9</f>
        <v>121.19233322143555</v>
      </c>
    </row>
    <row r="10" spans="1:4">
      <c r="A10" t="str">
        <f>'분석결과'!A10</f>
        <v>C01</v>
      </c>
      <c r="B10">
        <f>'분석결과'!L10</f>
        <v>25.29960950050736</v>
      </c>
      <c r="C10">
        <f>'분석결과'!G10</f>
        <v>0.6029119261351803</v>
      </c>
      <c r="D10">
        <f>'분석결과'!T10</f>
        <v>64.7291145324707</v>
      </c>
    </row>
    <row r="11" spans="1:4">
      <c r="A11" t="str">
        <f>'분석결과'!A11</f>
        <v>C02</v>
      </c>
      <c r="B11">
        <f>'분석결과'!L11</f>
        <v>26.182795998465735</v>
      </c>
      <c r="C11">
        <f>'분석결과'!G11</f>
        <v>0.6023425986945383</v>
      </c>
      <c r="D11">
        <f>'분석결과'!T11</f>
        <v>64.81132125854492</v>
      </c>
    </row>
    <row r="12" spans="1:4">
      <c r="A12" t="str">
        <f>'분석결과'!A12</f>
        <v>C03</v>
      </c>
      <c r="B12">
        <f>'분석결과'!L12</f>
        <v>36.29605549576809</v>
      </c>
      <c r="C12">
        <f>'분석결과'!G12</f>
        <v>0.5939927335145</v>
      </c>
      <c r="D12">
        <f>'분석결과'!T12</f>
        <v>122.59409713745117</v>
      </c>
    </row>
    <row r="13" spans="1:4">
      <c r="A13" t="str">
        <f>'분석결과'!A13</f>
        <v>C04</v>
      </c>
      <c r="B13">
        <f>'분석결과'!L13</f>
        <v>41.97326050052652</v>
      </c>
      <c r="C13">
        <f>'분석결과'!G13</f>
        <v>0.599605674186933</v>
      </c>
      <c r="D13">
        <f>'분석결과'!T13</f>
        <v>122.99455642700195</v>
      </c>
    </row>
    <row r="14" spans="1:4">
      <c r="A14" t="str">
        <f>'분석결과'!A14</f>
        <v>R01</v>
      </c>
      <c r="B14">
        <f>'분석결과'!L14</f>
        <v>24.010295503103407</v>
      </c>
      <c r="C14">
        <f>'분석결과'!G14</f>
        <v>0.5941087991992697</v>
      </c>
      <c r="D14">
        <f>'분석결과'!T14</f>
        <v>68.05361557006836</v>
      </c>
    </row>
    <row r="15" spans="1:4">
      <c r="A15" t="str">
        <f>'분석결과'!A15</f>
        <v>R02</v>
      </c>
      <c r="B15">
        <f>'분석결과'!L15</f>
        <v>42.96294300002046</v>
      </c>
      <c r="C15">
        <f>'분석결과'!G15</f>
        <v>0.5997268915175692</v>
      </c>
      <c r="D15">
        <f>'분석결과'!T15</f>
        <v>129.08879470825195</v>
      </c>
    </row>
    <row r="16" spans="1:4">
      <c r="A16" t="str">
        <f>'분석결과'!A16</f>
        <v>R03</v>
      </c>
      <c r="B16">
        <f>'분석결과'!L16</f>
        <v>32.38640950439731</v>
      </c>
      <c r="C16">
        <f>'분석결과'!G16</f>
        <v>0.5865409277639649</v>
      </c>
      <c r="D16">
        <f>'분석결과'!T16</f>
        <v>128.2463264465332</v>
      </c>
    </row>
    <row r="17" spans="1:4">
      <c r="A17" t="str">
        <f>'분석결과'!A17</f>
        <v>Q01</v>
      </c>
      <c r="B17">
        <f>'분석결과'!L17</f>
        <v>25.113971998507623</v>
      </c>
      <c r="C17">
        <f>'분석결과'!G17</f>
        <v>0.47432176245291</v>
      </c>
      <c r="D17">
        <f>'분석결과'!T17</f>
        <v>47.81473159790039</v>
      </c>
    </row>
    <row r="18" spans="1:4">
      <c r="A18" t="str">
        <f>'분석결과'!A18</f>
        <v>Q02</v>
      </c>
      <c r="B18">
        <f>'분석결과'!L18</f>
        <v>25.183493500662735</v>
      </c>
      <c r="C18">
        <f>'분석결과'!G18</f>
        <v>0.48322281358260494</v>
      </c>
      <c r="D18">
        <f>'분석결과'!T18</f>
        <v>43.38985061645508</v>
      </c>
    </row>
    <row r="19" spans="1:4">
      <c r="A19" t="str">
        <f>'분석결과'!A20</f>
        <v>Q04</v>
      </c>
      <c r="B19">
        <f>'분석결과'!L20</f>
        <v>37.99387800245313</v>
      </c>
      <c r="C19">
        <f>'분석결과'!G20</f>
        <v>0.3702262102000943</v>
      </c>
      <c r="D19">
        <f>'분석결과'!T20</f>
        <v>48.07638931274414</v>
      </c>
    </row>
    <row r="20" spans="1:4">
      <c r="A20" t="str">
        <f>'분석결과'!A21</f>
        <v>Q05</v>
      </c>
      <c r="B20">
        <f>'분석결과'!L21</f>
        <v>43.33256249810802</v>
      </c>
      <c r="C20">
        <f>'분석결과'!G21</f>
        <v>0.5980977119052601</v>
      </c>
      <c r="D20">
        <f>'분석결과'!T21</f>
        <v>111.8322868347168</v>
      </c>
    </row>
    <row r="21" spans="1:4">
      <c r="A21" t="str">
        <f>'분석결과'!A22</f>
        <v>Q06</v>
      </c>
      <c r="B21">
        <f>'분석결과'!L22</f>
        <v>39.408903001458384</v>
      </c>
      <c r="C21">
        <f>'분석결과'!G22</f>
        <v>0.3540556583177658</v>
      </c>
      <c r="D21">
        <f>'분석결과'!T22</f>
        <v>64.76676559448242</v>
      </c>
    </row>
    <row r="22" spans="1:4">
      <c r="A22" t="str">
        <f>'분석결과'!A23</f>
        <v>Q07</v>
      </c>
      <c r="B22">
        <f>'분석결과'!L23</f>
        <v>38.29855150252115</v>
      </c>
      <c r="C22">
        <f>'분석결과'!G23</f>
        <v>0.3579247452931818</v>
      </c>
      <c r="D22">
        <f>'분석결과'!T23</f>
        <v>52.98740005493164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A6A6"/>
  </sheetPr>
  <dimension ref="A1:R18"/>
  <sheetViews>
    <sheetView showGridLines="0" tabSelected="1" workbookViewId="0"/>
  </sheetViews>
  <sheetFormatPr defaultRowHeight="15"/>
  <cols>
    <col min="1" max="1" width="3.7109375" customWidth="1"/>
    <col min="2" max="9" width="16.7109375" customWidth="1"/>
    <col min="10" max="10" width="3.7109375" customWidth="1"/>
    <col min="11" max="18" width="14.7109375" customWidth="1"/>
  </cols>
  <sheetData>
    <row r="1" spans="2:18" ht="34" customHeight="1"/>
    <row r="2" spans="2:18">
      <c r="B2" s="9" t="s">
        <v>444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2:18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2:18">
      <c r="B4" s="10" t="s">
        <v>445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2:18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7" spans="2:18">
      <c r="B7" s="11" t="s">
        <v>446</v>
      </c>
      <c r="C7" s="11"/>
      <c r="D7" s="11" t="s">
        <v>447</v>
      </c>
      <c r="E7" s="11"/>
      <c r="F7" s="11" t="s">
        <v>448</v>
      </c>
      <c r="G7" s="11"/>
      <c r="H7" s="11" t="s">
        <v>449</v>
      </c>
      <c r="I7" s="11"/>
      <c r="J7" s="11" t="s">
        <v>144</v>
      </c>
      <c r="K7" s="11"/>
      <c r="L7" s="11" t="s">
        <v>450</v>
      </c>
      <c r="M7" s="11"/>
      <c r="N7" s="11" t="s">
        <v>297</v>
      </c>
      <c r="O7" s="11"/>
      <c r="P7" s="11" t="s">
        <v>451</v>
      </c>
      <c r="Q7" s="11"/>
    </row>
    <row r="8" spans="2:18">
      <c r="B8" s="12">
        <v>26</v>
      </c>
      <c r="C8" s="12"/>
      <c r="D8" s="12">
        <v>22</v>
      </c>
      <c r="E8" s="12"/>
      <c r="F8" s="12">
        <v>21</v>
      </c>
      <c r="G8" s="12"/>
      <c r="H8" s="12">
        <v>1</v>
      </c>
      <c r="I8" s="12"/>
      <c r="J8" s="12">
        <v>0</v>
      </c>
      <c r="K8" s="12"/>
      <c r="L8" s="12">
        <v>11</v>
      </c>
      <c r="M8" s="12"/>
      <c r="N8" s="12">
        <v>2</v>
      </c>
      <c r="O8" s="12"/>
      <c r="P8" s="12">
        <v>2</v>
      </c>
      <c r="Q8" s="12"/>
    </row>
    <row r="9" spans="2:18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1" spans="2:18">
      <c r="B11" s="2" t="s">
        <v>452</v>
      </c>
      <c r="C11" s="2"/>
      <c r="D11" s="2"/>
      <c r="E11" s="2"/>
      <c r="F11" s="2"/>
      <c r="G11" s="2"/>
      <c r="H11" s="2"/>
      <c r="I11" s="2"/>
      <c r="K11" s="2" t="s">
        <v>454</v>
      </c>
      <c r="L11" s="2"/>
      <c r="M11" s="2"/>
      <c r="N11" s="2"/>
      <c r="O11" s="2"/>
      <c r="P11" s="2"/>
      <c r="Q11" s="2"/>
      <c r="R11" s="2"/>
    </row>
    <row r="12" spans="2:18">
      <c r="B12" s="5" t="s">
        <v>453</v>
      </c>
      <c r="C12" s="5"/>
      <c r="D12" s="5"/>
      <c r="E12" s="5"/>
      <c r="F12" s="5"/>
      <c r="G12" s="5"/>
      <c r="H12" s="5"/>
      <c r="I12" s="5"/>
      <c r="K12" s="13" t="s">
        <v>455</v>
      </c>
      <c r="L12" t="s">
        <v>456</v>
      </c>
    </row>
    <row r="13" spans="2:18">
      <c r="B13" s="5"/>
      <c r="C13" s="5"/>
      <c r="D13" s="5"/>
      <c r="E13" s="5"/>
      <c r="F13" s="5"/>
      <c r="G13" s="5"/>
      <c r="H13" s="5"/>
      <c r="I13" s="5"/>
      <c r="K13" s="13" t="s">
        <v>457</v>
      </c>
      <c r="L13" t="s">
        <v>458</v>
      </c>
    </row>
    <row r="14" spans="2:18">
      <c r="B14" s="5"/>
      <c r="C14" s="5"/>
      <c r="D14" s="5"/>
      <c r="E14" s="5"/>
      <c r="F14" s="5"/>
      <c r="G14" s="5"/>
      <c r="H14" s="5"/>
      <c r="I14" s="5"/>
      <c r="K14" s="13" t="s">
        <v>459</v>
      </c>
      <c r="L14" t="s">
        <v>460</v>
      </c>
    </row>
    <row r="15" spans="2:18">
      <c r="B15" s="5"/>
      <c r="C15" s="5"/>
      <c r="D15" s="5"/>
      <c r="E15" s="5"/>
      <c r="F15" s="5"/>
      <c r="G15" s="5"/>
      <c r="H15" s="5"/>
      <c r="I15" s="5"/>
      <c r="K15" s="13" t="s">
        <v>461</v>
      </c>
      <c r="L15" t="s">
        <v>462</v>
      </c>
    </row>
    <row r="16" spans="2:18">
      <c r="B16" s="5"/>
      <c r="C16" s="5"/>
      <c r="D16" s="5"/>
      <c r="E16" s="5"/>
      <c r="F16" s="5"/>
      <c r="G16" s="5"/>
      <c r="H16" s="5"/>
      <c r="I16" s="5"/>
      <c r="K16" s="13" t="s">
        <v>463</v>
      </c>
      <c r="L16" t="s">
        <v>464</v>
      </c>
    </row>
    <row r="17" spans="11:12">
      <c r="K17" s="13" t="s">
        <v>465</v>
      </c>
      <c r="L17" t="s">
        <v>466</v>
      </c>
    </row>
    <row r="18" spans="11:12">
      <c r="K18" s="13" t="s">
        <v>467</v>
      </c>
      <c r="L18" t="s">
        <v>468</v>
      </c>
    </row>
  </sheetData>
  <mergeCells count="28">
    <mergeCell ref="B2:R3"/>
    <mergeCell ref="B4:R5"/>
    <mergeCell ref="B7:C7"/>
    <mergeCell ref="B8:C9"/>
    <mergeCell ref="D7:E7"/>
    <mergeCell ref="D8:E9"/>
    <mergeCell ref="F7:G7"/>
    <mergeCell ref="F8:G9"/>
    <mergeCell ref="H7:I7"/>
    <mergeCell ref="H8:I9"/>
    <mergeCell ref="J7:K7"/>
    <mergeCell ref="J8:K9"/>
    <mergeCell ref="L7:M7"/>
    <mergeCell ref="L8:M9"/>
    <mergeCell ref="N7:O7"/>
    <mergeCell ref="N8:O9"/>
    <mergeCell ref="P7:Q7"/>
    <mergeCell ref="P8:Q9"/>
    <mergeCell ref="B11:I11"/>
    <mergeCell ref="B12:I16"/>
    <mergeCell ref="K11:R11"/>
    <mergeCell ref="L12:R12"/>
    <mergeCell ref="L13:R13"/>
    <mergeCell ref="L14:R14"/>
    <mergeCell ref="L15:R15"/>
    <mergeCell ref="L16:R16"/>
    <mergeCell ref="L17:R17"/>
    <mergeCell ref="L18:R18"/>
  </mergeCells>
  <hyperlinks>
    <hyperlink ref="K12" location="'분석결과'!A1" display="분석결과"/>
    <hyperlink ref="K13" location="'원시결과'!A1" display="원시결과"/>
    <hyperlink ref="K14" location="'클래스별 정확도'!A1" display="클래스별 정확도"/>
    <hyperlink ref="K15" location="'반복측정'!A1" display="반복측정"/>
    <hyperlink ref="K16" location="'실패·제외'!A1" display="실패·제외"/>
    <hyperlink ref="K17" location="'평가기준'!A1" display="평가기준"/>
    <hyperlink ref="K18" location="'실험환경'!A1" display="실험환경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평가기준</vt:lpstr>
      <vt:lpstr>원시결과</vt:lpstr>
      <vt:lpstr>분석결과</vt:lpstr>
      <vt:lpstr>실패·제외</vt:lpstr>
      <vt:lpstr>클래스별 정확도</vt:lpstr>
      <vt:lpstr>반복측정</vt:lpstr>
      <vt:lpstr>실험환경</vt:lpstr>
      <vt:lpstr>_차트데이터</vt:lpstr>
      <vt:lpstr>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RF-DETR 경량화 2차 평가 결과</dc:title>
  <dc:subject>TensorRT 정확도·지연시간·자원·Pareto 통합 결과</dc:subject>
  <dc:creator>RF-DETR lightweighting evaluation pipeline</dc:creator>
  <dc:description>Generated from immutable JSON/CSV evaluation evidence.</dc:description>
  <cp:lastModifiedBy>RF-DETR lightweighting evaluation pipeline</cp:lastModifiedBy>
  <dcterms:created xsi:type="dcterms:W3CDTF">2026-09-04T02:13:46Z</dcterms:created>
  <dcterms:modified xsi:type="dcterms:W3CDTF">2026-09-04T02:13:46Z</dcterms:modified>
</cp:coreProperties>
</file>